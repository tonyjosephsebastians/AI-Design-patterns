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NY\Downloads\"/>
    </mc:Choice>
  </mc:AlternateContent>
  <xr:revisionPtr revIDLastSave="0" documentId="13_ncr:1_{B3700219-BC92-4F22-9B4B-8728F548F4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Patterns" sheetId="1" r:id="rId1"/>
    <sheet name="Dashboard" sheetId="2" r:id="rId2"/>
  </sheets>
  <definedNames>
    <definedName name="_xlnm._FilterDatabase" localSheetId="0" hidden="1">'All Patterns'!$A$1:$P$78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G17" i="2"/>
  <c r="F17" i="2"/>
  <c r="E17" i="2"/>
  <c r="H16" i="2"/>
  <c r="G16" i="2"/>
  <c r="F16" i="2"/>
  <c r="E16" i="2"/>
  <c r="H15" i="2"/>
  <c r="G15" i="2"/>
  <c r="F15" i="2"/>
  <c r="E15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B11" i="2"/>
  <c r="H10" i="2"/>
  <c r="G10" i="2"/>
  <c r="F10" i="2"/>
  <c r="E10" i="2"/>
  <c r="B10" i="2"/>
  <c r="H9" i="2"/>
  <c r="G9" i="2"/>
  <c r="F9" i="2"/>
  <c r="E9" i="2"/>
  <c r="B9" i="2"/>
  <c r="H8" i="2"/>
  <c r="G8" i="2"/>
  <c r="F8" i="2"/>
  <c r="E8" i="2"/>
  <c r="B8" i="2"/>
  <c r="H7" i="2"/>
  <c r="G7" i="2"/>
  <c r="F7" i="2"/>
  <c r="E7" i="2"/>
  <c r="B7" i="2"/>
  <c r="B6" i="2"/>
  <c r="B5" i="2"/>
</calcChain>
</file>

<file path=xl/sharedStrings.xml><?xml version="1.0" encoding="utf-8"?>
<sst xmlns="http://schemas.openxmlformats.org/spreadsheetml/2006/main" count="729" uniqueCount="560">
  <si>
    <t>Category</t>
  </si>
  <si>
    <t>Pattern</t>
  </si>
  <si>
    <t>Trigger / When</t>
  </si>
  <si>
    <t>Sub-Patterns / Notes</t>
  </si>
  <si>
    <t>Canonical</t>
  </si>
  <si>
    <t>Variation</t>
  </si>
  <si>
    <t>Status</t>
  </si>
  <si>
    <t>Confidence (1-5)</t>
  </si>
  <si>
    <t>Teach-back Done?</t>
  </si>
  <si>
    <t>Last Reviewed</t>
  </si>
  <si>
    <t>Next Review</t>
  </si>
  <si>
    <t>Ref 1</t>
  </si>
  <si>
    <t>Ref 2</t>
  </si>
  <si>
    <t>Ref 3</t>
  </si>
  <si>
    <t>YouTube Search</t>
  </si>
  <si>
    <t>DSA</t>
  </si>
  <si>
    <t>Two Pointers</t>
  </si>
  <si>
    <t>sorted, palindrome, partition</t>
  </si>
  <si>
    <t>L/R; same dir; partition</t>
  </si>
  <si>
    <t>Valid Palindrome (125)</t>
  </si>
  <si>
    <t>3Sum (15)</t>
  </si>
  <si>
    <t>Not Started</t>
  </si>
  <si>
    <t>https://www.geeksforgeeks.org/two-pointers-technique/</t>
  </si>
  <si>
    <t>https://www.educative.io/answers/what-is-the-two-pointer-technique</t>
  </si>
  <si>
    <t>https://leetcode.com/problems/valid-palindrome/</t>
  </si>
  <si>
    <t>https://www.youtube.com/results?search_query=Two+Pointers+pattern</t>
  </si>
  <si>
    <t>Sliding Window</t>
  </si>
  <si>
    <t>substring, longest/shortest</t>
  </si>
  <si>
    <t>fixed; variable; freq map</t>
  </si>
  <si>
    <t>Longest Substring (3)</t>
  </si>
  <si>
    <t>Min Window (76)</t>
  </si>
  <si>
    <t>https://www.geeksforgeeks.org/window-sliding-technique/</t>
  </si>
  <si>
    <t>https://www.educative.io/answers/what-is-the-sliding-window-technique</t>
  </si>
  <si>
    <t>https://leetcode.com/problems/longest-substring-without-repeating-characters/</t>
  </si>
  <si>
    <t>https://www.youtube.com/results?search_query=Sliding+Window+pattern</t>
  </si>
  <si>
    <t>Fast/Slow</t>
  </si>
  <si>
    <t>cycles, middle</t>
  </si>
  <si>
    <t>cycle detect; entry</t>
  </si>
  <si>
    <t>Linked List Cycle (141)</t>
  </si>
  <si>
    <t>Cycle II (142)</t>
  </si>
  <si>
    <t>https://www.geeksforgeeks.org/floyds-cycle-finding-algorithm/</t>
  </si>
  <si>
    <t>https://cp-algorithms.com/others/tortoise_and_hare.html</t>
  </si>
  <si>
    <t>https://leetcode.com/problems/linked-list-cycle/</t>
  </si>
  <si>
    <t>https://www.youtube.com/results?search_query=Fast%2FSlow+pattern</t>
  </si>
  <si>
    <t>Binary Search</t>
  </si>
  <si>
    <t>sorted, monotonic</t>
  </si>
  <si>
    <t>left/right bound; answer space</t>
  </si>
  <si>
    <t>Binary Search (704)</t>
  </si>
  <si>
    <t>Rotated Search (33)</t>
  </si>
  <si>
    <t>https://cp-algorithms.com/num_methods/binary_search.html</t>
  </si>
  <si>
    <t>https://www.geeksforgeeks.org/binary-search/</t>
  </si>
  <si>
    <t>https://leetcode.com/problems/binary-search/</t>
  </si>
  <si>
    <t>https://www.youtube.com/results?search_query=Binary+Search+pattern</t>
  </si>
  <si>
    <t>Tree DFS</t>
  </si>
  <si>
    <t>recursion, subtree</t>
  </si>
  <si>
    <t>top-down; bottom-up</t>
  </si>
  <si>
    <t>Max Depth (104)</t>
  </si>
  <si>
    <t>Validate BST (98)</t>
  </si>
  <si>
    <t>https://www.geeksforgeeks.org/tree-traversals-inorder-preorder-and-postorder/</t>
  </si>
  <si>
    <t>https://cp-algorithms.com/graph/depth-first-search.html</t>
  </si>
  <si>
    <t>https://leetcode.com/problems/maximum-depth-of-binary-tree/</t>
  </si>
  <si>
    <t>https://www.youtube.com/results?search_query=Tree+DFS+pattern</t>
  </si>
  <si>
    <t>Tree BFS</t>
  </si>
  <si>
    <t>level traversal</t>
  </si>
  <si>
    <t>zigzag; multi-source</t>
  </si>
  <si>
    <t>Level Order (102)</t>
  </si>
  <si>
    <t>Distance K (863)</t>
  </si>
  <si>
    <t>https://cp-algorithms.com/graph/breadth-first-search.html</t>
  </si>
  <si>
    <t>https://www.geeksforgeeks.org/level-order-tree-traversal/</t>
  </si>
  <si>
    <t>https://leetcode.com/problems/binary-tree-level-order-traversal/</t>
  </si>
  <si>
    <t>https://www.youtube.com/results?search_query=Tree+BFS+pattern</t>
  </si>
  <si>
    <t>Graph DFS/BFS</t>
  </si>
  <si>
    <t>components, deps</t>
  </si>
  <si>
    <t>topo; union-find</t>
  </si>
  <si>
    <t>Number of Islands (200)</t>
  </si>
  <si>
    <t>Course Schedule (207)</t>
  </si>
  <si>
    <t>https://cp-algorithms.com/graph/topological-sort.html</t>
  </si>
  <si>
    <t>https://www.youtube.com/results?search_query=Graph+DFS%2FBFS+pattern</t>
  </si>
  <si>
    <t>Backtracking</t>
  </si>
  <si>
    <t>generate all</t>
  </si>
  <si>
    <t>subsets; perms; prune</t>
  </si>
  <si>
    <t>Subsets (78)</t>
  </si>
  <si>
    <t>N-Queens (51)</t>
  </si>
  <si>
    <t>https://www.geeksforgeeks.org/backtracking-algorithms/</t>
  </si>
  <si>
    <t>https://leetcode.com/problems/subsets/</t>
  </si>
  <si>
    <t>https://cp-algorithms.com/graph/backtracking.html</t>
  </si>
  <si>
    <t>https://www.youtube.com/results?search_query=Backtracking+pattern</t>
  </si>
  <si>
    <t>Heap</t>
  </si>
  <si>
    <t>top-k, merge-k</t>
  </si>
  <si>
    <t>min/max; 2-heaps</t>
  </si>
  <si>
    <t>Top K Frequent (347)</t>
  </si>
  <si>
    <t>Merge K Lists (23)</t>
  </si>
  <si>
    <t>https://cp-algorithms.com/data_structures/heap.html</t>
  </si>
  <si>
    <t>https://www.geeksforgeeks.org/heap-data-structure/</t>
  </si>
  <si>
    <t>https://leetcode.com/problems/top-k-frequent-elements/</t>
  </si>
  <si>
    <t>https://www.youtube.com/results?search_query=Heap+pattern</t>
  </si>
  <si>
    <t>DP</t>
  </si>
  <si>
    <t>optimal + overlap</t>
  </si>
  <si>
    <t>1D; 2D; knapsack; LIS</t>
  </si>
  <si>
    <t>Climbing Stairs (70)</t>
  </si>
  <si>
    <t>Coin Change (322)</t>
  </si>
  <si>
    <t>https://cp-algorithms.com/dynamic_programming/intro-to-dp.html</t>
  </si>
  <si>
    <t>https://www.geeksforgeeks.org/dynamic-programming/</t>
  </si>
  <si>
    <t>https://leetcode.com/problems/climbing-stairs/</t>
  </si>
  <si>
    <t>https://www.youtube.com/results?search_query=DP+pattern</t>
  </si>
  <si>
    <t>Prefix Sum</t>
  </si>
  <si>
    <t>range sum, subarray=k</t>
  </si>
  <si>
    <t>hashmap prefix; 2D</t>
  </si>
  <si>
    <t>Subarray Sum = K (560)</t>
  </si>
  <si>
    <t>2D Range Sum (304)</t>
  </si>
  <si>
    <t>https://cp-algorithms.com/data_structures/fenwick.html</t>
  </si>
  <si>
    <t>https://www.geeksforgeeks.org/prefix-sum-array-implementation-applications-competitive-programming/</t>
  </si>
  <si>
    <t>https://leetcode.com/problems/subarray-sum-equals-k/</t>
  </si>
  <si>
    <t>https://www.youtube.com/results?search_query=Prefix+Sum+pattern</t>
  </si>
  <si>
    <t>Monotonic Stack</t>
  </si>
  <si>
    <t>next greater</t>
  </si>
  <si>
    <t>inc/dec stack</t>
  </si>
  <si>
    <t>Daily Temps (739)</t>
  </si>
  <si>
    <t>Histogram (84)</t>
  </si>
  <si>
    <t>https://cp-algorithms.com/data_structures/stack_queue_modification.html</t>
  </si>
  <si>
    <t>https://www.geeksforgeeks.org/introduction-to-monotonic-stack-data-structure-and-algorithm-tutorials/</t>
  </si>
  <si>
    <t>https://leetcode.com/problems/daily-temperatures/</t>
  </si>
  <si>
    <t>https://www.youtube.com/results?search_query=Monotonic+Stack+pattern</t>
  </si>
  <si>
    <t>Greedy</t>
  </si>
  <si>
    <t>local→global</t>
  </si>
  <si>
    <t>intervals; jump</t>
  </si>
  <si>
    <t>Merge Intervals (56)</t>
  </si>
  <si>
    <t>Jump Game (55)</t>
  </si>
  <si>
    <t>https://cp-algorithms.com/greedy/greedy.html</t>
  </si>
  <si>
    <t>https://www.geeksforgeeks.org/greedy-algorithms/</t>
  </si>
  <si>
    <t>https://leetcode.com/problems/merge-intervals/</t>
  </si>
  <si>
    <t>https://www.youtube.com/results?search_query=Greedy+pattern</t>
  </si>
  <si>
    <t>Reliability</t>
  </si>
  <si>
    <t>Timeout</t>
  </si>
  <si>
    <t>calls hang</t>
  </si>
  <si>
    <t>add per-call timeout</t>
  </si>
  <si>
    <t>https://learn.microsoft.com/en-us/azure/architecture/patterns/timeout</t>
  </si>
  <si>
    <t>https://microservices.io/patterns/reliability/timeouts.html</t>
  </si>
  <si>
    <t>https://martinfowler.com/articles/patterns-of-distributed-systems/timeouts.html</t>
  </si>
  <si>
    <t>https://www.youtube.com/results?search_query=Timeout+pattern</t>
  </si>
  <si>
    <t>Retry + Backoff</t>
  </si>
  <si>
    <t>transient failures</t>
  </si>
  <si>
    <t>exponential retry + jitter</t>
  </si>
  <si>
    <t>https://learn.microsoft.com/en-us/azure/architecture/patterns/retry</t>
  </si>
  <si>
    <t>https://microservices.io/patterns/reliability/retry.html</t>
  </si>
  <si>
    <t>https://aws.amazon.com/builders-library/timeouts-retries-and-backoff-with-jitter/</t>
  </si>
  <si>
    <t>https://www.youtube.com/results?search_query=Retry+%2B+Backoff+pattern</t>
  </si>
  <si>
    <t>Circuit Breaker</t>
  </si>
  <si>
    <t>cascading failure</t>
  </si>
  <si>
    <t>open/half-open state logic</t>
  </si>
  <si>
    <t>https://learn.microsoft.com/en-us/azure/architecture/patterns/circuit-breaker</t>
  </si>
  <si>
    <t>https://microservices.io/patterns/reliability/circuit-breaker.html</t>
  </si>
  <si>
    <t>https://martinfowler.com/bliki/CircuitBreaker.html</t>
  </si>
  <si>
    <t>https://www.youtube.com/results?search_query=Circuit+Breaker+pattern</t>
  </si>
  <si>
    <t>Bulkhead</t>
  </si>
  <si>
    <t>isolate services</t>
  </si>
  <si>
    <t>separate worker pools</t>
  </si>
  <si>
    <t>https://learn.microsoft.com/en-us/azure/architecture/patterns/bulkhead</t>
  </si>
  <si>
    <t>https://martinfowler.com/articles/patterns-of-distributed-systems/bulkheads.html</t>
  </si>
  <si>
    <t>https://microservices.io/patterns/reliability/bulkhead.html</t>
  </si>
  <si>
    <t>https://www.youtube.com/results?search_query=Bulkhead+pattern</t>
  </si>
  <si>
    <t>Rate Limiting</t>
  </si>
  <si>
    <t>protect system</t>
  </si>
  <si>
    <t>token bucket per tenant</t>
  </si>
  <si>
    <t>https://cloud.google.com/architecture/rate-limiting-strategies-techniques</t>
  </si>
  <si>
    <t>https://www.nginx.com/blog/rate-limiting-nginx/</t>
  </si>
  <si>
    <t>https://en.wikipedia.org/wiki/Token_bucket</t>
  </si>
  <si>
    <t>https://www.youtube.com/results?search_query=Rate+Limiting+pattern</t>
  </si>
  <si>
    <t>Graceful Degradation</t>
  </si>
  <si>
    <t>partial failure</t>
  </si>
  <si>
    <t>fallback model</t>
  </si>
  <si>
    <t>https://martinfowler.com/articles/patterns-of-distributed-systems/graceful-degradation.html</t>
  </si>
  <si>
    <t>https://learn.microsoft.com/en-us/azure/architecture/guide/design-principles/graceful-degradation</t>
  </si>
  <si>
    <t>https://www.infoq.com/articles/resilience-patterns/</t>
  </si>
  <si>
    <t>https://www.youtube.com/results?search_query=Graceful+Degradation+pattern</t>
  </si>
  <si>
    <t>Load Shedding</t>
  </si>
  <si>
    <t>overload</t>
  </si>
  <si>
    <t>reject low priority jobs</t>
  </si>
  <si>
    <t>https://sre.google/sre-book/handling-overload/</t>
  </si>
  <si>
    <t>https://cloud.google.com/architecture/handling-overload</t>
  </si>
  <si>
    <t>https://www.infoq.com/articles/load-shedding/</t>
  </si>
  <si>
    <t>https://www.youtube.com/results?search_query=Load+Shedding+pattern</t>
  </si>
  <si>
    <t>Distributed Workflows</t>
  </si>
  <si>
    <t>Job / Workflow</t>
  </si>
  <si>
    <t>long tasks</t>
  </si>
  <si>
    <t>async job queue</t>
  </si>
  <si>
    <t>https://martinfowler.com/articles/patterns-of-distributed-systems/long-running-request.html</t>
  </si>
  <si>
    <t>https://learn.microsoft.com/en-us/azure/architecture/patterns/async-request-reply</t>
  </si>
  <si>
    <t>https://aws.amazon.com/builders-library/background-work/</t>
  </si>
  <si>
    <t>https://www.youtube.com/results?search_query=Job+%2F+Workflow+pattern</t>
  </si>
  <si>
    <t>Idempotency Key</t>
  </si>
  <si>
    <t>retries happen</t>
  </si>
  <si>
    <t>prevent duplicate job</t>
  </si>
  <si>
    <t>https://stripe.com/docs/idempotency</t>
  </si>
  <si>
    <t>https://microservices.io/patterns/communication-style/idempotent-consumer.html</t>
  </si>
  <si>
    <t>https://docs.aws.amazon.com/apigateway/latest/developerguide/api-gateway-idempotency.html</t>
  </si>
  <si>
    <t>https://www.youtube.com/results?search_query=Idempotency+Key+pattern</t>
  </si>
  <si>
    <t>Deduplication</t>
  </si>
  <si>
    <t>cost control</t>
  </si>
  <si>
    <t>hash request body</t>
  </si>
  <si>
    <t>https://learn.microsoft.com/en-us/azure/service-bus-messaging/duplicate-detection</t>
  </si>
  <si>
    <t>https://docs.aws.amazon.com/AWSSimpleQueueService/latest/SQSDeveloperGuide/sqs-deduplication.html</t>
  </si>
  <si>
    <t>https://cloud.google.com/pubsub/docs/exactly-once-delivery</t>
  </si>
  <si>
    <t>https://www.youtube.com/results?search_query=Deduplication+pattern</t>
  </si>
  <si>
    <t>Outbox Pattern</t>
  </si>
  <si>
    <t>reliable events</t>
  </si>
  <si>
    <t>DB + async publish</t>
  </si>
  <si>
    <t>https://microservices.io/patterns/data/transactional-outbox.html</t>
  </si>
  <si>
    <t>https://learn.microsoft.com/en-us/azure/architecture/patterns/transactional-outbox</t>
  </si>
  <si>
    <t>https://www.confluent.io/blog/transactional-outbox-pattern/</t>
  </si>
  <si>
    <t>https://www.youtube.com/results?search_query=Outbox+Pattern+pattern</t>
  </si>
  <si>
    <t>Saga</t>
  </si>
  <si>
    <t>multi-step rollback</t>
  </si>
  <si>
    <t>compensating actions</t>
  </si>
  <si>
    <t>https://microservices.io/patterns/data/saga.html</t>
  </si>
  <si>
    <t>https://learn.microsoft.com/en-us/azure/architecture/reference-architectures/saga/saga</t>
  </si>
  <si>
    <t>https://www.confluent.io/blog/saga-pattern-microservices/</t>
  </si>
  <si>
    <t>https://www.youtube.com/results?search_query=Saga+pattern</t>
  </si>
  <si>
    <t>Backpressure</t>
  </si>
  <si>
    <t>queue overflow</t>
  </si>
  <si>
    <t>concurrency limits</t>
  </si>
  <si>
    <t>https://learn.microsoft.com/en-us/azure/architecture/patterns/backpressure</t>
  </si>
  <si>
    <t>https://www.reactive-streams.org/</t>
  </si>
  <si>
    <t>https://www.youtube.com/results?search_query=Backpressure+pattern</t>
  </si>
  <si>
    <t>API Design</t>
  </si>
  <si>
    <t>API Gateway</t>
  </si>
  <si>
    <t>single entrypoint</t>
  </si>
  <si>
    <t>auth + routing</t>
  </si>
  <si>
    <t>https://microservices.io/patterns/apigateway.html</t>
  </si>
  <si>
    <t>https://learn.microsoft.com/en-us/azure/architecture/patterns/gateway-routing</t>
  </si>
  <si>
    <t>https://aws.amazon.com/api-gateway/</t>
  </si>
  <si>
    <t>https://www.youtube.com/results?search_query=API+Gateway+pattern</t>
  </si>
  <si>
    <t>BFF</t>
  </si>
  <si>
    <t>client-specific APIs</t>
  </si>
  <si>
    <t>mobile/web separation</t>
  </si>
  <si>
    <t>https://microservices.io/patterns/apigateway.html#backends-for-frontends</t>
  </si>
  <si>
    <t>https://martinfowler.com/articles/bff.html</t>
  </si>
  <si>
    <t>https://learn.microsoft.com/en-us/azure/architecture/patterns/backends-for-frontends</t>
  </si>
  <si>
    <t>https://www.youtube.com/results?search_query=BFF+pattern</t>
  </si>
  <si>
    <t>Versioning</t>
  </si>
  <si>
    <t>breaking changes</t>
  </si>
  <si>
    <t>/v1, /v2</t>
  </si>
  <si>
    <t>https://restfulapi.net/versioning/</t>
  </si>
  <si>
    <t>https://learn.microsoft.com/en-us/azure/architecture/best-practices/api-design#versioning</t>
  </si>
  <si>
    <t>https://cloud.google.com/apis/design/versioning</t>
  </si>
  <si>
    <t>https://www.youtube.com/results?search_query=Versioning+pattern</t>
  </si>
  <si>
    <t>Structured Errors</t>
  </si>
  <si>
    <t>consistent failures</t>
  </si>
  <si>
    <t>error_code + trace_id</t>
  </si>
  <si>
    <t>https://www.rfc-editor.org/rfc/rfc9457</t>
  </si>
  <si>
    <t>https://learn.microsoft.com/en-us/azure/architecture/best-practices/api-design#handling-errors</t>
  </si>
  <si>
    <t>https://restfulapi.net/rest-api-error-handling/</t>
  </si>
  <si>
    <t>https://www.youtube.com/results?search_query=Structured+Errors+pattern</t>
  </si>
  <si>
    <t>Pagination</t>
  </si>
  <si>
    <t>scalable lists</t>
  </si>
  <si>
    <t>cursor pagination</t>
  </si>
  <si>
    <t>https://graphql.org/learn/pagination/</t>
  </si>
  <si>
    <t>https://restfulapi.net/rest-api-pagination/</t>
  </si>
  <si>
    <t>https://learn.microsoft.com/en-us/azure/architecture/best-practices/api-design#pagination</t>
  </si>
  <si>
    <t>https://www.youtube.com/results?search_query=Pagination+pattern</t>
  </si>
  <si>
    <t>Observability</t>
  </si>
  <si>
    <t>Tracing</t>
  </si>
  <si>
    <t>debug systems</t>
  </si>
  <si>
    <t>trace_id across services</t>
  </si>
  <si>
    <t>https://opentelemetry.io/docs/concepts/signals/traces/</t>
  </si>
  <si>
    <t>https://sre.google/sre-book/monitoring-distributed-systems/</t>
  </si>
  <si>
    <t>https://www.datadoghq.com/knowledge-center/distributed-tracing/</t>
  </si>
  <si>
    <t>https://www.youtube.com/results?search_query=Tracing+pattern</t>
  </si>
  <si>
    <t>Prompt Versioning</t>
  </si>
  <si>
    <t>reproducibility</t>
  </si>
  <si>
    <t>store template hash</t>
  </si>
  <si>
    <t>https://www.promptingguide.ai/research/prompting</t>
  </si>
  <si>
    <t>https://docs.langfuse.com/prompts/prompt-management</t>
  </si>
  <si>
    <t>https://mlflow.org/docs/latest/llms/index.html</t>
  </si>
  <si>
    <t>https://www.youtube.com/results?search_query=Prompt+Versioning+pattern</t>
  </si>
  <si>
    <t>Replay</t>
  </si>
  <si>
    <t>debug AI answers</t>
  </si>
  <si>
    <t>rerun same inputs</t>
  </si>
  <si>
    <t>https://learn.microsoft.com/en-us/azure/architecture/patterns/event-sourcing</t>
  </si>
  <si>
    <t>https://martinfowler.com/eaaDev/EventSourcing.html</t>
  </si>
  <si>
    <t>https://www.confluent.io/blog/event-sourcing-pattern/</t>
  </si>
  <si>
    <t>https://www.youtube.com/results?search_query=Replay+pattern</t>
  </si>
  <si>
    <t>Metrics</t>
  </si>
  <si>
    <t>SLO tracking</t>
  </si>
  <si>
    <t>latency + token usage</t>
  </si>
  <si>
    <t>https://opentelemetry.io/docs/concepts/signals/metrics/</t>
  </si>
  <si>
    <t>https://sre.google/sre-book/service-level-objectives/</t>
  </si>
  <si>
    <t>https://prometheus.io/docs/introduction/overview/</t>
  </si>
  <si>
    <t>https://www.youtube.com/results?search_query=Metrics+pattern</t>
  </si>
  <si>
    <t>Cost Attribution</t>
  </si>
  <si>
    <t>billing control</t>
  </si>
  <si>
    <t>per-tenant token logs</t>
  </si>
  <si>
    <t>https://sre.google/workbook/capacity-planning/</t>
  </si>
  <si>
    <t>https://cloud.google.com/architecture/cost-management</t>
  </si>
  <si>
    <t>https://learn.microsoft.com/en-us/azure/cloud-adoption-framework/strategy/cost-management</t>
  </si>
  <si>
    <t>https://www.youtube.com/results?search_query=Cost+Attribution+pattern</t>
  </si>
  <si>
    <t>RAG</t>
  </si>
  <si>
    <t>Chunking</t>
  </si>
  <si>
    <t>better recall</t>
  </si>
  <si>
    <t>chunk by headings</t>
  </si>
  <si>
    <t>https://www.pinecone.io/learn/chunking-strategies/</t>
  </si>
  <si>
    <t>https://docs.llamaindex.ai/en/stable/understanding/loading/loading/#chunking</t>
  </si>
  <si>
    <t>https://weaviate.io/blog/chunking-strategies-for-rag</t>
  </si>
  <si>
    <t>https://www.youtube.com/results?search_query=Chunking+pattern</t>
  </si>
  <si>
    <t>Metadata Filtering</t>
  </si>
  <si>
    <t>reduce noise</t>
  </si>
  <si>
    <t>filter by doc_type</t>
  </si>
  <si>
    <t>https://weaviate.io/developers/weaviate/search/filters</t>
  </si>
  <si>
    <t>https://docs.pinecone.io/docs/metadata-filtering</t>
  </si>
  <si>
    <t>https://learn.microsoft.com/en-us/azure/search/search-filters</t>
  </si>
  <si>
    <t>https://www.youtube.com/results?search_query=Metadata+Filtering+pattern</t>
  </si>
  <si>
    <t>Hybrid Retrieval</t>
  </si>
  <si>
    <t>best recall</t>
  </si>
  <si>
    <t>BM25 + vector</t>
  </si>
  <si>
    <t>https://weaviate.io/blog/hybrid-search-explained</t>
  </si>
  <si>
    <t>https://learn.microsoft.com/en-us/azure/search/hybrid-search-overview</t>
  </si>
  <si>
    <t>https://www.elastic.co/guide/en/elasticsearch/reference/current/semantic-text-hybrid-search.html</t>
  </si>
  <si>
    <t>https://www.youtube.com/results?search_query=Hybrid+Retrieval+pattern</t>
  </si>
  <si>
    <t>Re-ranking</t>
  </si>
  <si>
    <t>improve relevance</t>
  </si>
  <si>
    <t>rerank top 20</t>
  </si>
  <si>
    <t>https://www.pinecone.io/learn/rerankers/</t>
  </si>
  <si>
    <t>https://docs.cohere.com/docs/rerank</t>
  </si>
  <si>
    <t>https://weaviate.io/blog/rerankers-for-rag</t>
  </si>
  <si>
    <t>https://www.youtube.com/results?search_query=Re-ranking+pattern</t>
  </si>
  <si>
    <t>Context Budgeting</t>
  </si>
  <si>
    <t>token limit</t>
  </si>
  <si>
    <t>top-k cap</t>
  </si>
  <si>
    <t>https://docs.llamaindex.ai/en/stable/optimizing/advanced_retrieval/context_window/</t>
  </si>
  <si>
    <t>https://www.pinecone.io/learn/context-window/</t>
  </si>
  <si>
    <t>https://learn.microsoft.com/en-us/azure/ai-services/openai/concepts/tokens</t>
  </si>
  <si>
    <t>https://www.youtube.com/results?search_query=Context+Budgeting+pattern</t>
  </si>
  <si>
    <t>Grounded Generation</t>
  </si>
  <si>
    <t>reduce hallucination</t>
  </si>
  <si>
    <t>cite chunk_id</t>
  </si>
  <si>
    <t>https://vectara.com/blog/grounded-generation-retrieval-augmented-generation/</t>
  </si>
  <si>
    <t>https://ai.googleblog.com/2023/05/grounded-generation.html</t>
  </si>
  <si>
    <t>https://learn.microsoft.com/en-us/azure/ai-services/openai/concepts/retrieval-augmented-generation</t>
  </si>
  <si>
    <t>https://www.youtube.com/results?search_query=Grounded+Generation+pattern</t>
  </si>
  <si>
    <t>Verification</t>
  </si>
  <si>
    <t>safe answers</t>
  </si>
  <si>
    <t>null if not found</t>
  </si>
  <si>
    <t>https://docs.llamaindex.ai/en/stable/optimizing/response_synthesizers/response_modes/</t>
  </si>
  <si>
    <t>https://www.pinecone.io/learn/hallucinations/</t>
  </si>
  <si>
    <t>https://www.promptingguide.ai/techniques/verification</t>
  </si>
  <si>
    <t>https://www.youtube.com/results?search_query=Verification+pattern</t>
  </si>
  <si>
    <t>Agentic</t>
  </si>
  <si>
    <t>Orchestrator</t>
  </si>
  <si>
    <t>control flow</t>
  </si>
  <si>
    <t>state machine</t>
  </si>
  <si>
    <t>https://langchain-ai.github.io/langgraph/</t>
  </si>
  <si>
    <t>https://learn.microsoft.com/en-us/azure/architecture/guide/ai/orchestration-patterns</t>
  </si>
  <si>
    <t>https://martinfowler.com/articles/patterns-of-distributed-systems/workflow-engine.html</t>
  </si>
  <si>
    <t>https://www.youtube.com/results?search_query=Orchestrator+pattern</t>
  </si>
  <si>
    <t>Router Agent</t>
  </si>
  <si>
    <t>dispatch tasks</t>
  </si>
  <si>
    <t>route by confidence</t>
  </si>
  <si>
    <t>https://python.langchain.com/docs/how_to/routing/</t>
  </si>
  <si>
    <t>https://www.promptingguide.ai/agents</t>
  </si>
  <si>
    <t>https://learn.microsoft.com/en-us/azure/architecture/guide/ai/ai-agent-patterns</t>
  </si>
  <si>
    <t>https://www.youtube.com/results?search_query=Router+Agent+pattern</t>
  </si>
  <si>
    <t>Planner → Executor</t>
  </si>
  <si>
    <t>structured steps</t>
  </si>
  <si>
    <t>plan JSON</t>
  </si>
  <si>
    <t>https://www.promptingguide.ai/techniques/plan-and-solve</t>
  </si>
  <si>
    <t>https://python.langchain.com/docs/modules/agents/agent_types/plan_and_execute/</t>
  </si>
  <si>
    <t>https://www.youtube.com/results?search_query=Planner+%E2%86%92+Executor+pattern</t>
  </si>
  <si>
    <t>Critic Agent</t>
  </si>
  <si>
    <t>validation</t>
  </si>
  <si>
    <t>verify output schema</t>
  </si>
  <si>
    <t>https://arxiv.org/abs/2303.11366</t>
  </si>
  <si>
    <t>https://www.promptingguide.ai/techniques/self-consistency</t>
  </si>
  <si>
    <t>https://www.promptingguide.ai/techniques/critique</t>
  </si>
  <si>
    <t>https://www.youtube.com/results?search_query=Critic+Agent+pattern</t>
  </si>
  <si>
    <t>Human-in-the-Loop</t>
  </si>
  <si>
    <t>safety</t>
  </si>
  <si>
    <t>escalate low confidence</t>
  </si>
  <si>
    <t>https://sre.google/workbook/automation/</t>
  </si>
  <si>
    <t>https://learn.microsoft.com/en-us/azure/architecture/guide/ai/responsible-ai-harmonized-guidance</t>
  </si>
  <si>
    <t>https://www.nist.gov/itl/ai-risk-management-framework</t>
  </si>
  <si>
    <t>https://www.youtube.com/results?search_query=Human-in-the-Loop+pattern</t>
  </si>
  <si>
    <t>Deterministic Output</t>
  </si>
  <si>
    <t>reliability</t>
  </si>
  <si>
    <t>schema-first extraction</t>
  </si>
  <si>
    <t>https://docs.pydantic.dev/latest/</t>
  </si>
  <si>
    <t>https://json-schema.org/learn/getting-started-step-by-step</t>
  </si>
  <si>
    <t>https://platform.openai.com/docs/guides/structured-outputs</t>
  </si>
  <si>
    <t>https://www.youtube.com/results?search_query=Deterministic+Output+pattern</t>
  </si>
  <si>
    <t>ReAct</t>
  </si>
  <si>
    <t>tool-using reasoning loop</t>
  </si>
  <si>
    <t>reason+act+observe</t>
  </si>
  <si>
    <t>https://arxiv.org/abs/2210.03629</t>
  </si>
  <si>
    <t>https://research.google/blog/react-synergizing-reasoning-and-acting-in-language-models/</t>
  </si>
  <si>
    <t>https://www.promptingguide.ai/techniques/react</t>
  </si>
  <si>
    <t>https://www.youtube.com/results?search_query=ReAct+pattern</t>
  </si>
  <si>
    <t>Reflexion</t>
  </si>
  <si>
    <t>self-improvement via reflections</t>
  </si>
  <si>
    <t>memory of feedback</t>
  </si>
  <si>
    <t>https://openreview.net/forum?id=vAElhFcKW6</t>
  </si>
  <si>
    <t>https://github.com/noahshinn/reflexion</t>
  </si>
  <si>
    <t>https://www.youtube.com/results?search_query=Reflexion+pattern</t>
  </si>
  <si>
    <t>ReWOO</t>
  </si>
  <si>
    <t>reasoning without observation</t>
  </si>
  <si>
    <t>token efficient tool-use</t>
  </si>
  <si>
    <t>https://arxiv.org/abs/2305.18323</t>
  </si>
  <si>
    <t>https://www.ibm.com/think/topics/rewoo</t>
  </si>
  <si>
    <t>https://www.promptingguide.ai/techniques/rewoo</t>
  </si>
  <si>
    <t>https://www.youtube.com/results?search_query=ReWOO+pattern</t>
  </si>
  <si>
    <t>Tree of Thoughts</t>
  </si>
  <si>
    <t>search over reasoning paths</t>
  </si>
  <si>
    <t>branching + eval</t>
  </si>
  <si>
    <t>https://arxiv.org/abs/2305.10601</t>
  </si>
  <si>
    <t>https://openreview.net/forum?id=5Xc1ecxO1h</t>
  </si>
  <si>
    <t>https://github.com/princeton-nlp/tree-of-thought-llm</t>
  </si>
  <si>
    <t>https://www.youtube.com/results?search_query=Tree+of+Thoughts+pattern</t>
  </si>
  <si>
    <t>LLM Safety &amp; Cost</t>
  </si>
  <si>
    <t>Schema Validation</t>
  </si>
  <si>
    <t>strict output</t>
  </si>
  <si>
    <t>Pydantic validation</t>
  </si>
  <si>
    <t>https://json-schema.org/</t>
  </si>
  <si>
    <t>https://www.youtube.com/results?search_query=Schema+Validation+pattern</t>
  </si>
  <si>
    <t>Prompt Injection Defense</t>
  </si>
  <si>
    <t>strip instructions</t>
  </si>
  <si>
    <t>https://www.promptingguide.ai/risks/prompt-injection</t>
  </si>
  <si>
    <t>https://learn.microsoft.com/en-us/azure/ai-services/openai/concepts/content-filter</t>
  </si>
  <si>
    <t>https://owasp.org/www-project-top-10-for-large-language-model-applications/</t>
  </si>
  <si>
    <t>https://www.youtube.com/results?search_query=Prompt+Injection+Defense+pattern</t>
  </si>
  <si>
    <t>Response Cache</t>
  </si>
  <si>
    <t>hash(query) cache</t>
  </si>
  <si>
    <t>https://developer.mozilla.org/en-US/docs/Web/HTTP/Caching</t>
  </si>
  <si>
    <t>https://redis.io/docs/latest/develop/use/caching/</t>
  </si>
  <si>
    <t>https://martinfowler.com/bliki/CacheAside.html</t>
  </si>
  <si>
    <t>https://www.youtube.com/results?search_query=Response+Cache+pattern</t>
  </si>
  <si>
    <t>Model Routing</t>
  </si>
  <si>
    <t>optimize cost</t>
  </si>
  <si>
    <t>cheap-first strategy</t>
  </si>
  <si>
    <t>https://learn.microsoft.com/en-us/azure/ai-services/openai/concepts/model-route</t>
  </si>
  <si>
    <t>https://platform.openai.com/docs/guides/latency-optimization</t>
  </si>
  <si>
    <t>https://www.pinecone.io/learn/llm-routing/</t>
  </si>
  <si>
    <t>https://www.youtube.com/results?search_query=Model+Routing+pattern</t>
  </si>
  <si>
    <t>Token Budgets</t>
  </si>
  <si>
    <t>guardrail</t>
  </si>
  <si>
    <t>per-tenant cap</t>
  </si>
  <si>
    <t>https://platform.openai.com/docs/guides/cost-optimization</t>
  </si>
  <si>
    <t>https://sre.google/sre-book/capacity-planning/</t>
  </si>
  <si>
    <t>https://www.youtube.com/results?search_query=Token+Budgets+pattern</t>
  </si>
  <si>
    <t>GoF - Creational</t>
  </si>
  <si>
    <t>Factory</t>
  </si>
  <si>
    <t>dynamic model selection</t>
  </si>
  <si>
    <t>https://refactoring.guru/design-patterns/factory-method</t>
  </si>
  <si>
    <t>https://www.geeksforgeeks.org/factory-method-design-pattern-in-python/</t>
  </si>
  <si>
    <t>https://www.youtube.com/results?search_query=Factory+pattern</t>
  </si>
  <si>
    <t>Abstract Factory</t>
  </si>
  <si>
    <t>multi-provider system</t>
  </si>
  <si>
    <t>https://refactoring.guru/design-patterns/abstract-factory</t>
  </si>
  <si>
    <t>https://www.geeksforgeeks.org/abstract-factory-pattern/</t>
  </si>
  <si>
    <t>https://www.youtube.com/results?search_query=Abstract+Factory+pattern</t>
  </si>
  <si>
    <t>Builder</t>
  </si>
  <si>
    <t>prompt construction</t>
  </si>
  <si>
    <t>https://refactoring.guru/design-patterns/builder</t>
  </si>
  <si>
    <t>https://www.geeksforgeeks.org/builder-design-pattern/</t>
  </si>
  <si>
    <t>https://www.youtube.com/results?search_query=Builder+pattern</t>
  </si>
  <si>
    <t>Singleton</t>
  </si>
  <si>
    <t>config manager</t>
  </si>
  <si>
    <t>https://refactoring.guru/design-patterns/singleton</t>
  </si>
  <si>
    <t>https://www.geeksforgeeks.org/singleton-design-pattern/</t>
  </si>
  <si>
    <t>https://www.youtube.com/results?search_query=Singleton+pattern</t>
  </si>
  <si>
    <t>Prototype</t>
  </si>
  <si>
    <t>clone agent config</t>
  </si>
  <si>
    <t>https://refactoring.guru/design-patterns/prototype</t>
  </si>
  <si>
    <t>https://www.geeksforgeeks.org/prototype-design-pattern/</t>
  </si>
  <si>
    <t>https://www.youtube.com/results?search_query=Prototype+pattern</t>
  </si>
  <si>
    <t>GoF - Structural</t>
  </si>
  <si>
    <t>Adapter</t>
  </si>
  <si>
    <t>unify provider interfaces</t>
  </si>
  <si>
    <t>https://refactoring.guru/design-patterns/adapter</t>
  </si>
  <si>
    <t>https://www.geeksforgeeks.org/adapter-pattern/</t>
  </si>
  <si>
    <t>https://www.youtube.com/results?search_query=Adapter+pattern</t>
  </si>
  <si>
    <t>Facade</t>
  </si>
  <si>
    <t>simplify RAG pipeline</t>
  </si>
  <si>
    <t>https://refactoring.guru/design-patterns/facade</t>
  </si>
  <si>
    <t>https://www.geeksforgeeks.org/facade-design-pattern/</t>
  </si>
  <si>
    <t>https://www.youtube.com/results?search_query=Facade+pattern</t>
  </si>
  <si>
    <t>Decorator</t>
  </si>
  <si>
    <t>add logging/token tracking</t>
  </si>
  <si>
    <t>https://refactoring.guru/design-patterns/decorator</t>
  </si>
  <si>
    <t>https://www.geeksforgeeks.org/decorator-pattern/</t>
  </si>
  <si>
    <t>https://www.youtube.com/results?search_query=Decorator+pattern</t>
  </si>
  <si>
    <t>Proxy</t>
  </si>
  <si>
    <t>caching / rate limiting</t>
  </si>
  <si>
    <t>https://refactoring.guru/design-patterns/proxy</t>
  </si>
  <si>
    <t>https://www.geeksforgeeks.org/proxy-design-pattern/</t>
  </si>
  <si>
    <t>https://www.youtube.com/results?search_query=Proxy+pattern</t>
  </si>
  <si>
    <t>Bridge</t>
  </si>
  <si>
    <t>abstraction vs implementation</t>
  </si>
  <si>
    <t>https://refactoring.guru/design-patterns/bridge</t>
  </si>
  <si>
    <t>https://www.geeksforgeeks.org/bridge-design-pattern/</t>
  </si>
  <si>
    <t>https://www.youtube.com/results?search_query=Bridge+pattern</t>
  </si>
  <si>
    <t>Composite</t>
  </si>
  <si>
    <t>workflow tree</t>
  </si>
  <si>
    <t>https://refactoring.guru/design-patterns/composite</t>
  </si>
  <si>
    <t>https://www.geeksforgeeks.org/composite-design-pattern/</t>
  </si>
  <si>
    <t>https://www.youtube.com/results?search_query=Composite+pattern</t>
  </si>
  <si>
    <t>GoF - Behavioral</t>
  </si>
  <si>
    <t>Strategy</t>
  </si>
  <si>
    <t>retrieval switching</t>
  </si>
  <si>
    <t>https://refactoring.guru/design-patterns/strategy</t>
  </si>
  <si>
    <t>https://www.geeksforgeeks.org/strategy-pattern/</t>
  </si>
  <si>
    <t>https://www.youtube.com/results?search_query=Strategy+pattern</t>
  </si>
  <si>
    <t>Template Method</t>
  </si>
  <si>
    <t>base agent execution</t>
  </si>
  <si>
    <t>https://refactoring.guru/design-patterns/template-method</t>
  </si>
  <si>
    <t>https://www.geeksforgeeks.org/template-method-design-pattern/</t>
  </si>
  <si>
    <t>https://www.youtube.com/results?search_query=Template+Method+pattern</t>
  </si>
  <si>
    <t>Chain of Responsibility</t>
  </si>
  <si>
    <t>moderation pipeline</t>
  </si>
  <si>
    <t>https://refactoring.guru/design-patterns/chain-of-responsibility</t>
  </si>
  <si>
    <t>https://www.geeksforgeeks.org/chain-of-responsibility-design-pattern/</t>
  </si>
  <si>
    <t>https://www.youtube.com/results?search_query=Chain+of+Responsibility+pattern</t>
  </si>
  <si>
    <t>Command</t>
  </si>
  <si>
    <t>async job object</t>
  </si>
  <si>
    <t>https://refactoring.guru/design-patterns/command</t>
  </si>
  <si>
    <t>https://www.geeksforgeeks.org/command-pattern/</t>
  </si>
  <si>
    <t>https://www.youtube.com/results?search_query=Command+pattern</t>
  </si>
  <si>
    <t>Observer</t>
  </si>
  <si>
    <t>tracing events</t>
  </si>
  <si>
    <t>https://refactoring.guru/design-patterns/observer</t>
  </si>
  <si>
    <t>https://www.geeksforgeeks.org/observer-pattern-set-1-introduction/</t>
  </si>
  <si>
    <t>https://www.youtube.com/results?search_query=Observer+pattern</t>
  </si>
  <si>
    <t>Mediator</t>
  </si>
  <si>
    <t>multi-agent coordination</t>
  </si>
  <si>
    <t>https://refactoring.guru/design-patterns/mediator</t>
  </si>
  <si>
    <t>https://www.geeksforgeeks.org/mediator-design-pattern/</t>
  </si>
  <si>
    <t>https://www.youtube.com/results?search_query=Mediator+pattern</t>
  </si>
  <si>
    <t>State</t>
  </si>
  <si>
    <t>workflow state machine</t>
  </si>
  <si>
    <t>https://refactoring.guru/design-patterns/state</t>
  </si>
  <si>
    <t>https://www.geeksforgeeks.org/state-design-pattern/</t>
  </si>
  <si>
    <t>https://www.youtube.com/results?search_query=State+pattern</t>
  </si>
  <si>
    <t>Visitor</t>
  </si>
  <si>
    <t>analytics over workflow</t>
  </si>
  <si>
    <t>https://refactoring.guru/design-patterns/visitor</t>
  </si>
  <si>
    <t>https://www.geeksforgeeks.org/visitor-design-pattern/</t>
  </si>
  <si>
    <t>https://www.youtube.com/results?search_query=Visitor+pattern</t>
  </si>
  <si>
    <t>Master Pattern Library — Dashboard</t>
  </si>
  <si>
    <t>Today</t>
  </si>
  <si>
    <t>2026-02-22</t>
  </si>
  <si>
    <t>Progress by Category</t>
  </si>
  <si>
    <t>Total Patterns</t>
  </si>
  <si>
    <t>Mastered</t>
  </si>
  <si>
    <t>Completed</t>
  </si>
  <si>
    <t>In Progress</t>
  </si>
  <si>
    <t>Mastery %</t>
  </si>
  <si>
    <t>Avg Confidence</t>
  </si>
  <si>
    <t>Legend</t>
  </si>
  <si>
    <t>Mastered = can build + explain + apply in project</t>
  </si>
  <si>
    <t>Completed = solved canonical + variation + teach-back</t>
  </si>
  <si>
    <t>In Progress = started but not consistent yet</t>
  </si>
  <si>
    <t>https://www.google.com/search?q=Time+Out+pattern+with+fastapi&amp;sca_esv=4ca364c6bf4cd7e9&amp;sxsrf=ANbL-n6q6s1ksXGCbgL8IR1rh5oaokXbnQ%3A1771783422968&amp;ei=_kSbad7COMGc0PEP49KOmAg&amp;iflsig=AFdpzrgAAAAAaZtTDjN26I7toX_sTjKgpRyKzBp3Puk1&amp;ved=2ahUKEwix0PTP1-2SAxXIrYkEHVjeA_oQ0NsOegQIAxAB&amp;uact=5&amp;sclient=gws-wiz&amp;udm=50&amp;fbs=ADc_l-aN0CWEZBOHjofHoaMMDiKpaEWjvZ2Py1XXV8d8KvlI3vWUtYx0DZdicpfE1faGYemg2KC4yuMPyQlIvlWqq2AtcdVMJmMDffRprXURy79lwU70Lz2dh0euofCmx0cOkSMUN_9xLa1WY5bR54cNlXeNGNTIGEBWBS4AHaEHunITDBubohheJbfr-zPyq37pAUUqNqfD1HmhD39p6KjzK0vACrrg3Q&amp;aep=10&amp;ntc=1&amp;mstk=AUtExfDB1a5Jf3HyuiJGabEeVfxU_O8JrEttUdhFkHylBHASDqsZ1O73mGoSsI1cxCapUOh6mayZRVheygq1icjJp9SDYlJY_XhDJzVYhbO927fpZYEatOYrrnLF7S86ENCea0xg8Wf0uAEcBYcuZ48uZAe7tEIVqWmYnJM6l0ru7pkRtifaXipYlOHsiht2NIg-yqz_CB2v6h3MW-uOuQg2E95eZ8i_eQ4S9jvUlocMFZbr6lHjZHZ9l07UaiDY1HOOHJb_imCQkdNMqhM9OkpNl7PHWqcTZ0gSqm5ImWq4TCOzU9HH9tIEGr16zKvAukUG0quqMGS7bx9k3A&amp;csuir=1&amp;mtid=L0WbaYOULtz8ptQPravB4Q4&amp;atvm=1#sv=CAMSWBozKhFpYy01WGpZQjlJOTJHRTJJTTIONVhqWUI5STkyR0UySU06DlFFcHpTMkVTSUd0emVNIAQqGwoEc3ZpbRIRaWMtNVhqWUI5STkyR0UySU0YATABOAAYByDo__zLBjACOgA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</si>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</sst>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name val="Calibri"/>
    </font>
    <font>
      <b/>
      <sz val="12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4" fillId="0" borderId="0" xfId="0" applyFont="1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0" fontId="5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icroservices.io/patterns/reliability/timeouts.html" TargetMode="External"/><Relationship Id="rId2" Type="http://schemas.openxmlformats.org/officeDocument/2006/relationships/hyperlink" Target="https://learn.microsoft.com/en-us/azure/architecture/patterns/timeout" TargetMode="External"/><Relationship Id="rId1" Type="http://schemas.openxmlformats.org/officeDocument/2006/relationships/hyperlink" Target="https://www.geeksforgeeks.org/two-pointers-technique/" TargetMode="External"/><Relationship Id="rId4" Type="http://schemas.openxmlformats.org/officeDocument/2006/relationships/hyperlink" Target="https://martinfowler.com/articles/patterns-of-distributed-systems/timeou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pane ySplit="1" topLeftCell="A14" activePane="bottomLeft" state="frozen"/>
      <selection pane="bottomLeft" activeCell="I15" sqref="I15"/>
    </sheetView>
  </sheetViews>
  <sheetFormatPr defaultRowHeight="15" x14ac:dyDescent="0.25"/>
  <cols>
    <col min="1" max="1" width="18" customWidth="1"/>
    <col min="2" max="2" width="22" customWidth="1"/>
    <col min="3" max="3" width="26" customWidth="1"/>
    <col min="4" max="4" width="28" customWidth="1"/>
    <col min="5" max="6" width="18" customWidth="1"/>
    <col min="7" max="7" width="14" customWidth="1"/>
    <col min="8" max="9" width="16" customWidth="1"/>
    <col min="10" max="11" width="14" customWidth="1"/>
    <col min="12" max="15" width="44" customWidth="1"/>
    <col min="16" max="16" width="36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559</v>
      </c>
      <c r="O1" s="1" t="s">
        <v>13</v>
      </c>
      <c r="P1" s="1" t="s">
        <v>14</v>
      </c>
    </row>
    <row r="2" spans="1:16" ht="30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/>
      <c r="I2" s="2"/>
      <c r="J2" s="2"/>
      <c r="K2" s="2"/>
      <c r="L2" s="8" t="s">
        <v>22</v>
      </c>
      <c r="M2" s="2" t="s">
        <v>23</v>
      </c>
      <c r="N2" s="2"/>
      <c r="O2" s="2" t="s">
        <v>24</v>
      </c>
      <c r="P2" s="2" t="s">
        <v>25</v>
      </c>
    </row>
    <row r="3" spans="1:16" ht="30" x14ac:dyDescent="0.25">
      <c r="A3" s="2" t="s">
        <v>15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21</v>
      </c>
      <c r="H3" s="2"/>
      <c r="I3" s="2"/>
      <c r="J3" s="2"/>
      <c r="K3" s="2"/>
      <c r="L3" s="2" t="s">
        <v>31</v>
      </c>
      <c r="M3" s="2" t="s">
        <v>32</v>
      </c>
      <c r="N3" s="2"/>
      <c r="O3" s="2" t="s">
        <v>33</v>
      </c>
      <c r="P3" s="2" t="s">
        <v>34</v>
      </c>
    </row>
    <row r="4" spans="1:16" ht="45" x14ac:dyDescent="0.25">
      <c r="A4" s="2" t="s">
        <v>15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21</v>
      </c>
      <c r="H4" s="2"/>
      <c r="I4" s="2"/>
      <c r="J4" s="2"/>
      <c r="K4" s="2"/>
      <c r="L4" s="2" t="s">
        <v>40</v>
      </c>
      <c r="M4" s="2" t="s">
        <v>41</v>
      </c>
      <c r="N4" s="2"/>
      <c r="O4" s="2" t="s">
        <v>42</v>
      </c>
      <c r="P4" s="2" t="s">
        <v>43</v>
      </c>
    </row>
    <row r="5" spans="1:16" ht="45" x14ac:dyDescent="0.25">
      <c r="A5" s="2" t="s">
        <v>15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21</v>
      </c>
      <c r="H5" s="2"/>
      <c r="I5" s="2"/>
      <c r="J5" s="2"/>
      <c r="K5" s="2"/>
      <c r="L5" s="2" t="s">
        <v>49</v>
      </c>
      <c r="M5" s="2" t="s">
        <v>50</v>
      </c>
      <c r="N5" s="2"/>
      <c r="O5" s="2" t="s">
        <v>51</v>
      </c>
      <c r="P5" s="2" t="s">
        <v>52</v>
      </c>
    </row>
    <row r="6" spans="1:16" ht="30" x14ac:dyDescent="0.25">
      <c r="A6" s="2" t="s">
        <v>15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21</v>
      </c>
      <c r="H6" s="2"/>
      <c r="I6" s="2"/>
      <c r="J6" s="2"/>
      <c r="K6" s="2"/>
      <c r="L6" s="2" t="s">
        <v>58</v>
      </c>
      <c r="M6" s="2" t="s">
        <v>59</v>
      </c>
      <c r="N6" s="2"/>
      <c r="O6" s="2" t="s">
        <v>60</v>
      </c>
      <c r="P6" s="2" t="s">
        <v>61</v>
      </c>
    </row>
    <row r="7" spans="1:16" ht="30" x14ac:dyDescent="0.25">
      <c r="A7" s="2" t="s">
        <v>15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21</v>
      </c>
      <c r="H7" s="2"/>
      <c r="I7" s="2"/>
      <c r="J7" s="2"/>
      <c r="K7" s="2"/>
      <c r="L7" s="2" t="s">
        <v>67</v>
      </c>
      <c r="M7" s="2" t="s">
        <v>68</v>
      </c>
      <c r="N7" s="2"/>
      <c r="O7" s="2" t="s">
        <v>69</v>
      </c>
      <c r="P7" s="2" t="s">
        <v>70</v>
      </c>
    </row>
    <row r="8" spans="1:16" ht="45" x14ac:dyDescent="0.25">
      <c r="A8" s="2" t="s">
        <v>15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21</v>
      </c>
      <c r="H8" s="2"/>
      <c r="I8" s="2"/>
      <c r="J8" s="2"/>
      <c r="K8" s="2"/>
      <c r="L8" s="2" t="s">
        <v>59</v>
      </c>
      <c r="M8" s="2" t="s">
        <v>67</v>
      </c>
      <c r="N8" s="2"/>
      <c r="O8" s="2" t="s">
        <v>76</v>
      </c>
      <c r="P8" s="2" t="s">
        <v>77</v>
      </c>
    </row>
    <row r="9" spans="1:16" ht="30" x14ac:dyDescent="0.25">
      <c r="A9" s="2" t="s">
        <v>15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21</v>
      </c>
      <c r="H9" s="2"/>
      <c r="I9" s="2"/>
      <c r="J9" s="2"/>
      <c r="K9" s="2"/>
      <c r="L9" s="2" t="s">
        <v>83</v>
      </c>
      <c r="M9" s="2" t="s">
        <v>84</v>
      </c>
      <c r="N9" s="2"/>
      <c r="O9" s="2" t="s">
        <v>85</v>
      </c>
      <c r="P9" s="2" t="s">
        <v>86</v>
      </c>
    </row>
    <row r="10" spans="1:16" ht="30" x14ac:dyDescent="0.25">
      <c r="A10" s="2" t="s">
        <v>15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21</v>
      </c>
      <c r="H10" s="2"/>
      <c r="I10" s="2"/>
      <c r="J10" s="2"/>
      <c r="K10" s="2"/>
      <c r="L10" s="2" t="s">
        <v>92</v>
      </c>
      <c r="M10" s="2" t="s">
        <v>93</v>
      </c>
      <c r="N10" s="2"/>
      <c r="O10" s="2" t="s">
        <v>94</v>
      </c>
      <c r="P10" s="2" t="s">
        <v>95</v>
      </c>
    </row>
    <row r="11" spans="1:16" ht="45" x14ac:dyDescent="0.25">
      <c r="A11" s="2" t="s">
        <v>15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21</v>
      </c>
      <c r="H11" s="2"/>
      <c r="I11" s="2"/>
      <c r="J11" s="2"/>
      <c r="K11" s="2"/>
      <c r="L11" s="2" t="s">
        <v>101</v>
      </c>
      <c r="M11" s="2" t="s">
        <v>102</v>
      </c>
      <c r="N11" s="2"/>
      <c r="O11" s="2" t="s">
        <v>103</v>
      </c>
      <c r="P11" s="2" t="s">
        <v>104</v>
      </c>
    </row>
    <row r="12" spans="1:16" ht="45" x14ac:dyDescent="0.25">
      <c r="A12" s="2" t="s">
        <v>15</v>
      </c>
      <c r="B12" s="2" t="s">
        <v>105</v>
      </c>
      <c r="C12" s="2" t="s">
        <v>106</v>
      </c>
      <c r="D12" s="2" t="s">
        <v>107</v>
      </c>
      <c r="E12" s="2" t="s">
        <v>108</v>
      </c>
      <c r="F12" s="2" t="s">
        <v>109</v>
      </c>
      <c r="G12" s="2" t="s">
        <v>21</v>
      </c>
      <c r="H12" s="2"/>
      <c r="I12" s="2"/>
      <c r="J12" s="2"/>
      <c r="K12" s="2"/>
      <c r="L12" s="2" t="s">
        <v>110</v>
      </c>
      <c r="M12" s="2" t="s">
        <v>111</v>
      </c>
      <c r="N12" s="2"/>
      <c r="O12" s="2" t="s">
        <v>112</v>
      </c>
      <c r="P12" s="2" t="s">
        <v>113</v>
      </c>
    </row>
    <row r="13" spans="1:16" ht="45" x14ac:dyDescent="0.25">
      <c r="A13" s="2" t="s">
        <v>15</v>
      </c>
      <c r="B13" s="2" t="s">
        <v>114</v>
      </c>
      <c r="C13" s="2" t="s">
        <v>115</v>
      </c>
      <c r="D13" s="2" t="s">
        <v>116</v>
      </c>
      <c r="E13" s="2" t="s">
        <v>117</v>
      </c>
      <c r="F13" s="2" t="s">
        <v>118</v>
      </c>
      <c r="G13" s="2" t="s">
        <v>21</v>
      </c>
      <c r="H13" s="2"/>
      <c r="I13" s="2"/>
      <c r="J13" s="2"/>
      <c r="K13" s="2"/>
      <c r="L13" s="2" t="s">
        <v>119</v>
      </c>
      <c r="M13" s="2" t="s">
        <v>120</v>
      </c>
      <c r="N13" s="2"/>
      <c r="O13" s="2" t="s">
        <v>121</v>
      </c>
      <c r="P13" s="2" t="s">
        <v>122</v>
      </c>
    </row>
    <row r="14" spans="1:16" ht="30" x14ac:dyDescent="0.25">
      <c r="A14" s="2" t="s">
        <v>15</v>
      </c>
      <c r="B14" s="2" t="s">
        <v>123</v>
      </c>
      <c r="C14" s="2" t="s">
        <v>124</v>
      </c>
      <c r="D14" s="2" t="s">
        <v>125</v>
      </c>
      <c r="E14" s="2" t="s">
        <v>126</v>
      </c>
      <c r="F14" s="2" t="s">
        <v>127</v>
      </c>
      <c r="G14" s="2" t="s">
        <v>21</v>
      </c>
      <c r="H14" s="2"/>
      <c r="I14" s="2"/>
      <c r="J14" s="2"/>
      <c r="K14" s="2"/>
      <c r="L14" s="2" t="s">
        <v>128</v>
      </c>
      <c r="M14" s="2" t="s">
        <v>129</v>
      </c>
      <c r="N14" s="2"/>
      <c r="O14" s="2" t="s">
        <v>130</v>
      </c>
      <c r="P14" s="2" t="s">
        <v>131</v>
      </c>
    </row>
    <row r="15" spans="1:16" ht="409.5" x14ac:dyDescent="0.25">
      <c r="A15" s="2" t="s">
        <v>132</v>
      </c>
      <c r="B15" s="2" t="s">
        <v>133</v>
      </c>
      <c r="C15" s="2" t="s">
        <v>134</v>
      </c>
      <c r="D15" s="2" t="s">
        <v>135</v>
      </c>
      <c r="E15" s="2"/>
      <c r="F15" s="2"/>
      <c r="G15" s="2" t="s">
        <v>21</v>
      </c>
      <c r="H15" s="2"/>
      <c r="I15" s="2"/>
      <c r="J15" s="2"/>
      <c r="K15" s="2"/>
      <c r="L15" s="8" t="s">
        <v>136</v>
      </c>
      <c r="M15" s="8" t="s">
        <v>137</v>
      </c>
      <c r="N15" s="8" t="s">
        <v>558</v>
      </c>
      <c r="O15" s="8" t="s">
        <v>138</v>
      </c>
      <c r="P15" s="2" t="s">
        <v>139</v>
      </c>
    </row>
    <row r="16" spans="1:16" ht="45" x14ac:dyDescent="0.25">
      <c r="A16" s="2" t="s">
        <v>132</v>
      </c>
      <c r="B16" s="2" t="s">
        <v>140</v>
      </c>
      <c r="C16" s="2" t="s">
        <v>141</v>
      </c>
      <c r="D16" s="2" t="s">
        <v>142</v>
      </c>
      <c r="E16" s="2"/>
      <c r="F16" s="2"/>
      <c r="G16" s="2" t="s">
        <v>21</v>
      </c>
      <c r="H16" s="2"/>
      <c r="I16" s="2"/>
      <c r="J16" s="2"/>
      <c r="K16" s="2"/>
      <c r="L16" s="2" t="s">
        <v>143</v>
      </c>
      <c r="M16" s="2" t="s">
        <v>144</v>
      </c>
      <c r="N16" s="2"/>
      <c r="O16" s="2" t="s">
        <v>145</v>
      </c>
      <c r="P16" s="2" t="s">
        <v>146</v>
      </c>
    </row>
    <row r="17" spans="1:16" ht="30" x14ac:dyDescent="0.25">
      <c r="A17" s="2" t="s">
        <v>132</v>
      </c>
      <c r="B17" s="2" t="s">
        <v>147</v>
      </c>
      <c r="C17" s="2" t="s">
        <v>148</v>
      </c>
      <c r="D17" s="2" t="s">
        <v>149</v>
      </c>
      <c r="E17" s="2"/>
      <c r="F17" s="2"/>
      <c r="G17" s="2" t="s">
        <v>21</v>
      </c>
      <c r="H17" s="2"/>
      <c r="I17" s="2"/>
      <c r="J17" s="2"/>
      <c r="K17" s="2"/>
      <c r="L17" s="2" t="s">
        <v>150</v>
      </c>
      <c r="M17" s="2" t="s">
        <v>151</v>
      </c>
      <c r="N17" s="2"/>
      <c r="O17" s="2" t="s">
        <v>152</v>
      </c>
      <c r="P17" s="2" t="s">
        <v>153</v>
      </c>
    </row>
    <row r="18" spans="1:16" ht="30" x14ac:dyDescent="0.25">
      <c r="A18" s="2" t="s">
        <v>132</v>
      </c>
      <c r="B18" s="2" t="s">
        <v>154</v>
      </c>
      <c r="C18" s="2" t="s">
        <v>155</v>
      </c>
      <c r="D18" s="2" t="s">
        <v>156</v>
      </c>
      <c r="E18" s="2"/>
      <c r="F18" s="2"/>
      <c r="G18" s="2" t="s">
        <v>21</v>
      </c>
      <c r="H18" s="2"/>
      <c r="I18" s="2"/>
      <c r="J18" s="2"/>
      <c r="K18" s="2"/>
      <c r="L18" s="2" t="s">
        <v>157</v>
      </c>
      <c r="M18" s="2" t="s">
        <v>158</v>
      </c>
      <c r="N18" s="2"/>
      <c r="O18" s="2" t="s">
        <v>159</v>
      </c>
      <c r="P18" s="2" t="s">
        <v>160</v>
      </c>
    </row>
    <row r="19" spans="1:16" ht="30" x14ac:dyDescent="0.25">
      <c r="A19" s="2" t="s">
        <v>132</v>
      </c>
      <c r="B19" s="2" t="s">
        <v>161</v>
      </c>
      <c r="C19" s="2" t="s">
        <v>162</v>
      </c>
      <c r="D19" s="2" t="s">
        <v>163</v>
      </c>
      <c r="E19" s="2"/>
      <c r="F19" s="2"/>
      <c r="G19" s="2" t="s">
        <v>21</v>
      </c>
      <c r="H19" s="2"/>
      <c r="I19" s="2"/>
      <c r="J19" s="2"/>
      <c r="K19" s="2"/>
      <c r="L19" s="2" t="s">
        <v>164</v>
      </c>
      <c r="M19" s="2" t="s">
        <v>165</v>
      </c>
      <c r="N19" s="2"/>
      <c r="O19" s="2" t="s">
        <v>166</v>
      </c>
      <c r="P19" s="2" t="s">
        <v>167</v>
      </c>
    </row>
    <row r="20" spans="1:16" ht="45" x14ac:dyDescent="0.25">
      <c r="A20" s="2" t="s">
        <v>132</v>
      </c>
      <c r="B20" s="2" t="s">
        <v>168</v>
      </c>
      <c r="C20" s="2" t="s">
        <v>169</v>
      </c>
      <c r="D20" s="2" t="s">
        <v>170</v>
      </c>
      <c r="E20" s="2"/>
      <c r="F20" s="2"/>
      <c r="G20" s="2" t="s">
        <v>21</v>
      </c>
      <c r="H20" s="2"/>
      <c r="I20" s="2"/>
      <c r="J20" s="2"/>
      <c r="K20" s="2"/>
      <c r="L20" s="2" t="s">
        <v>171</v>
      </c>
      <c r="M20" s="2" t="s">
        <v>172</v>
      </c>
      <c r="N20" s="2"/>
      <c r="O20" s="2" t="s">
        <v>173</v>
      </c>
      <c r="P20" s="2" t="s">
        <v>174</v>
      </c>
    </row>
    <row r="21" spans="1:16" ht="30" x14ac:dyDescent="0.25">
      <c r="A21" s="2" t="s">
        <v>132</v>
      </c>
      <c r="B21" s="2" t="s">
        <v>175</v>
      </c>
      <c r="C21" s="2" t="s">
        <v>176</v>
      </c>
      <c r="D21" s="2" t="s">
        <v>177</v>
      </c>
      <c r="E21" s="2"/>
      <c r="F21" s="2"/>
      <c r="G21" s="2" t="s">
        <v>21</v>
      </c>
      <c r="H21" s="2"/>
      <c r="I21" s="2"/>
      <c r="J21" s="2"/>
      <c r="K21" s="2"/>
      <c r="L21" s="2" t="s">
        <v>178</v>
      </c>
      <c r="M21" s="2" t="s">
        <v>179</v>
      </c>
      <c r="N21" s="2"/>
      <c r="O21" s="2" t="s">
        <v>180</v>
      </c>
      <c r="P21" s="2" t="s">
        <v>181</v>
      </c>
    </row>
    <row r="22" spans="1:16" ht="45" x14ac:dyDescent="0.25">
      <c r="A22" s="2" t="s">
        <v>182</v>
      </c>
      <c r="B22" s="2" t="s">
        <v>183</v>
      </c>
      <c r="C22" s="2" t="s">
        <v>184</v>
      </c>
      <c r="D22" s="2" t="s">
        <v>185</v>
      </c>
      <c r="E22" s="2"/>
      <c r="F22" s="2"/>
      <c r="G22" s="2" t="s">
        <v>21</v>
      </c>
      <c r="H22" s="2"/>
      <c r="I22" s="2"/>
      <c r="J22" s="2"/>
      <c r="K22" s="2"/>
      <c r="L22" s="2" t="s">
        <v>186</v>
      </c>
      <c r="M22" s="2" t="s">
        <v>187</v>
      </c>
      <c r="N22" s="2"/>
      <c r="O22" s="2" t="s">
        <v>188</v>
      </c>
      <c r="P22" s="2" t="s">
        <v>189</v>
      </c>
    </row>
    <row r="23" spans="1:16" ht="45" x14ac:dyDescent="0.25">
      <c r="A23" s="2" t="s">
        <v>182</v>
      </c>
      <c r="B23" s="2" t="s">
        <v>190</v>
      </c>
      <c r="C23" s="2" t="s">
        <v>191</v>
      </c>
      <c r="D23" s="2" t="s">
        <v>192</v>
      </c>
      <c r="E23" s="2"/>
      <c r="F23" s="2"/>
      <c r="G23" s="2" t="s">
        <v>21</v>
      </c>
      <c r="H23" s="2"/>
      <c r="I23" s="2"/>
      <c r="J23" s="2"/>
      <c r="K23" s="2"/>
      <c r="L23" s="2" t="s">
        <v>193</v>
      </c>
      <c r="M23" s="2" t="s">
        <v>194</v>
      </c>
      <c r="N23" s="2"/>
      <c r="O23" s="2" t="s">
        <v>195</v>
      </c>
      <c r="P23" s="2" t="s">
        <v>196</v>
      </c>
    </row>
    <row r="24" spans="1:16" ht="45" x14ac:dyDescent="0.25">
      <c r="A24" s="2" t="s">
        <v>182</v>
      </c>
      <c r="B24" s="2" t="s">
        <v>197</v>
      </c>
      <c r="C24" s="2" t="s">
        <v>198</v>
      </c>
      <c r="D24" s="2" t="s">
        <v>199</v>
      </c>
      <c r="E24" s="2"/>
      <c r="F24" s="2"/>
      <c r="G24" s="2" t="s">
        <v>21</v>
      </c>
      <c r="H24" s="2"/>
      <c r="I24" s="2"/>
      <c r="J24" s="2"/>
      <c r="K24" s="2"/>
      <c r="L24" s="2" t="s">
        <v>200</v>
      </c>
      <c r="M24" s="2" t="s">
        <v>201</v>
      </c>
      <c r="N24" s="2"/>
      <c r="O24" s="2" t="s">
        <v>202</v>
      </c>
      <c r="P24" s="2" t="s">
        <v>203</v>
      </c>
    </row>
    <row r="25" spans="1:16" ht="45" x14ac:dyDescent="0.25">
      <c r="A25" s="2" t="s">
        <v>182</v>
      </c>
      <c r="B25" s="2" t="s">
        <v>204</v>
      </c>
      <c r="C25" s="2" t="s">
        <v>205</v>
      </c>
      <c r="D25" s="2" t="s">
        <v>206</v>
      </c>
      <c r="E25" s="2"/>
      <c r="F25" s="2"/>
      <c r="G25" s="2" t="s">
        <v>21</v>
      </c>
      <c r="H25" s="2"/>
      <c r="I25" s="2"/>
      <c r="J25" s="2"/>
      <c r="K25" s="2"/>
      <c r="L25" s="2" t="s">
        <v>207</v>
      </c>
      <c r="M25" s="2" t="s">
        <v>208</v>
      </c>
      <c r="N25" s="2"/>
      <c r="O25" s="2" t="s">
        <v>209</v>
      </c>
      <c r="P25" s="2" t="s">
        <v>210</v>
      </c>
    </row>
    <row r="26" spans="1:16" ht="45" x14ac:dyDescent="0.25">
      <c r="A26" s="2" t="s">
        <v>182</v>
      </c>
      <c r="B26" s="2" t="s">
        <v>211</v>
      </c>
      <c r="C26" s="2" t="s">
        <v>212</v>
      </c>
      <c r="D26" s="2" t="s">
        <v>213</v>
      </c>
      <c r="E26" s="2"/>
      <c r="F26" s="2"/>
      <c r="G26" s="2" t="s">
        <v>21</v>
      </c>
      <c r="H26" s="2"/>
      <c r="I26" s="2"/>
      <c r="J26" s="2"/>
      <c r="K26" s="2"/>
      <c r="L26" s="2" t="s">
        <v>214</v>
      </c>
      <c r="M26" s="2" t="s">
        <v>215</v>
      </c>
      <c r="N26" s="2"/>
      <c r="O26" s="2" t="s">
        <v>216</v>
      </c>
      <c r="P26" s="2" t="s">
        <v>217</v>
      </c>
    </row>
    <row r="27" spans="1:16" ht="30" x14ac:dyDescent="0.25">
      <c r="A27" s="2" t="s">
        <v>182</v>
      </c>
      <c r="B27" s="2" t="s">
        <v>218</v>
      </c>
      <c r="C27" s="2" t="s">
        <v>219</v>
      </c>
      <c r="D27" s="2" t="s">
        <v>220</v>
      </c>
      <c r="E27" s="2"/>
      <c r="F27" s="2"/>
      <c r="G27" s="2" t="s">
        <v>21</v>
      </c>
      <c r="H27" s="2"/>
      <c r="I27" s="2"/>
      <c r="J27" s="2"/>
      <c r="K27" s="2"/>
      <c r="L27" s="2" t="s">
        <v>221</v>
      </c>
      <c r="M27" s="2" t="s">
        <v>178</v>
      </c>
      <c r="N27" s="2"/>
      <c r="O27" s="2" t="s">
        <v>222</v>
      </c>
      <c r="P27" s="2" t="s">
        <v>223</v>
      </c>
    </row>
    <row r="28" spans="1:16" ht="45" x14ac:dyDescent="0.25">
      <c r="A28" s="2" t="s">
        <v>224</v>
      </c>
      <c r="B28" s="2" t="s">
        <v>225</v>
      </c>
      <c r="C28" s="2" t="s">
        <v>226</v>
      </c>
      <c r="D28" s="2" t="s">
        <v>227</v>
      </c>
      <c r="E28" s="2"/>
      <c r="F28" s="2"/>
      <c r="G28" s="2" t="s">
        <v>21</v>
      </c>
      <c r="H28" s="2"/>
      <c r="I28" s="2"/>
      <c r="J28" s="2"/>
      <c r="K28" s="2"/>
      <c r="L28" s="2" t="s">
        <v>228</v>
      </c>
      <c r="M28" s="2" t="s">
        <v>229</v>
      </c>
      <c r="N28" s="2"/>
      <c r="O28" s="2" t="s">
        <v>230</v>
      </c>
      <c r="P28" s="2" t="s">
        <v>231</v>
      </c>
    </row>
    <row r="29" spans="1:16" ht="45" x14ac:dyDescent="0.25">
      <c r="A29" s="2" t="s">
        <v>224</v>
      </c>
      <c r="B29" s="2" t="s">
        <v>232</v>
      </c>
      <c r="C29" s="2" t="s">
        <v>233</v>
      </c>
      <c r="D29" s="2" t="s">
        <v>234</v>
      </c>
      <c r="E29" s="2"/>
      <c r="F29" s="2"/>
      <c r="G29" s="2" t="s">
        <v>21</v>
      </c>
      <c r="H29" s="2"/>
      <c r="I29" s="2"/>
      <c r="J29" s="2"/>
      <c r="K29" s="2"/>
      <c r="L29" s="2" t="s">
        <v>235</v>
      </c>
      <c r="M29" s="2" t="s">
        <v>236</v>
      </c>
      <c r="N29" s="2"/>
      <c r="O29" s="2" t="s">
        <v>237</v>
      </c>
      <c r="P29" s="2" t="s">
        <v>238</v>
      </c>
    </row>
    <row r="30" spans="1:16" ht="45" x14ac:dyDescent="0.25">
      <c r="A30" s="2" t="s">
        <v>224</v>
      </c>
      <c r="B30" s="2" t="s">
        <v>239</v>
      </c>
      <c r="C30" s="2" t="s">
        <v>240</v>
      </c>
      <c r="D30" s="2" t="s">
        <v>241</v>
      </c>
      <c r="E30" s="2"/>
      <c r="F30" s="2"/>
      <c r="G30" s="2" t="s">
        <v>21</v>
      </c>
      <c r="H30" s="2"/>
      <c r="I30" s="2"/>
      <c r="J30" s="2"/>
      <c r="K30" s="2"/>
      <c r="L30" s="2" t="s">
        <v>242</v>
      </c>
      <c r="M30" s="2" t="s">
        <v>243</v>
      </c>
      <c r="N30" s="2"/>
      <c r="O30" s="2" t="s">
        <v>244</v>
      </c>
      <c r="P30" s="2" t="s">
        <v>245</v>
      </c>
    </row>
    <row r="31" spans="1:16" ht="45" x14ac:dyDescent="0.25">
      <c r="A31" s="2" t="s">
        <v>224</v>
      </c>
      <c r="B31" s="2" t="s">
        <v>246</v>
      </c>
      <c r="C31" s="2" t="s">
        <v>247</v>
      </c>
      <c r="D31" s="2" t="s">
        <v>248</v>
      </c>
      <c r="E31" s="2"/>
      <c r="F31" s="2"/>
      <c r="G31" s="2" t="s">
        <v>21</v>
      </c>
      <c r="H31" s="2"/>
      <c r="I31" s="2"/>
      <c r="J31" s="2"/>
      <c r="K31" s="2"/>
      <c r="L31" s="2" t="s">
        <v>249</v>
      </c>
      <c r="M31" s="2" t="s">
        <v>250</v>
      </c>
      <c r="N31" s="2"/>
      <c r="O31" s="2" t="s">
        <v>251</v>
      </c>
      <c r="P31" s="2" t="s">
        <v>252</v>
      </c>
    </row>
    <row r="32" spans="1:16" ht="45" x14ac:dyDescent="0.25">
      <c r="A32" s="2" t="s">
        <v>224</v>
      </c>
      <c r="B32" s="2" t="s">
        <v>253</v>
      </c>
      <c r="C32" s="2" t="s">
        <v>254</v>
      </c>
      <c r="D32" s="2" t="s">
        <v>255</v>
      </c>
      <c r="E32" s="2"/>
      <c r="F32" s="2"/>
      <c r="G32" s="2" t="s">
        <v>21</v>
      </c>
      <c r="H32" s="2"/>
      <c r="I32" s="2"/>
      <c r="J32" s="2"/>
      <c r="K32" s="2"/>
      <c r="L32" s="2" t="s">
        <v>256</v>
      </c>
      <c r="M32" s="2" t="s">
        <v>257</v>
      </c>
      <c r="N32" s="2"/>
      <c r="O32" s="2" t="s">
        <v>258</v>
      </c>
      <c r="P32" s="2" t="s">
        <v>259</v>
      </c>
    </row>
    <row r="33" spans="1:16" ht="30" x14ac:dyDescent="0.25">
      <c r="A33" s="2" t="s">
        <v>260</v>
      </c>
      <c r="B33" s="2" t="s">
        <v>261</v>
      </c>
      <c r="C33" s="2" t="s">
        <v>262</v>
      </c>
      <c r="D33" s="2" t="s">
        <v>263</v>
      </c>
      <c r="E33" s="2"/>
      <c r="F33" s="2"/>
      <c r="G33" s="2" t="s">
        <v>21</v>
      </c>
      <c r="H33" s="2"/>
      <c r="I33" s="2"/>
      <c r="J33" s="2"/>
      <c r="K33" s="2"/>
      <c r="L33" s="2" t="s">
        <v>264</v>
      </c>
      <c r="M33" s="2" t="s">
        <v>265</v>
      </c>
      <c r="N33" s="2"/>
      <c r="O33" s="2" t="s">
        <v>266</v>
      </c>
      <c r="P33" s="2" t="s">
        <v>267</v>
      </c>
    </row>
    <row r="34" spans="1:16" ht="45" x14ac:dyDescent="0.25">
      <c r="A34" s="2" t="s">
        <v>260</v>
      </c>
      <c r="B34" s="2" t="s">
        <v>268</v>
      </c>
      <c r="C34" s="2" t="s">
        <v>269</v>
      </c>
      <c r="D34" s="2" t="s">
        <v>270</v>
      </c>
      <c r="E34" s="2"/>
      <c r="F34" s="2"/>
      <c r="G34" s="2" t="s">
        <v>21</v>
      </c>
      <c r="H34" s="2"/>
      <c r="I34" s="2"/>
      <c r="J34" s="2"/>
      <c r="K34" s="2"/>
      <c r="L34" s="2" t="s">
        <v>271</v>
      </c>
      <c r="M34" s="2" t="s">
        <v>272</v>
      </c>
      <c r="N34" s="2"/>
      <c r="O34" s="2" t="s">
        <v>273</v>
      </c>
      <c r="P34" s="2" t="s">
        <v>274</v>
      </c>
    </row>
    <row r="35" spans="1:16" ht="30" x14ac:dyDescent="0.25">
      <c r="A35" s="2" t="s">
        <v>260</v>
      </c>
      <c r="B35" s="2" t="s">
        <v>275</v>
      </c>
      <c r="C35" s="2" t="s">
        <v>276</v>
      </c>
      <c r="D35" s="2" t="s">
        <v>277</v>
      </c>
      <c r="E35" s="2"/>
      <c r="F35" s="2"/>
      <c r="G35" s="2" t="s">
        <v>21</v>
      </c>
      <c r="H35" s="2"/>
      <c r="I35" s="2"/>
      <c r="J35" s="2"/>
      <c r="K35" s="2"/>
      <c r="L35" s="2" t="s">
        <v>278</v>
      </c>
      <c r="M35" s="2" t="s">
        <v>279</v>
      </c>
      <c r="N35" s="2"/>
      <c r="O35" s="2" t="s">
        <v>280</v>
      </c>
      <c r="P35" s="2" t="s">
        <v>281</v>
      </c>
    </row>
    <row r="36" spans="1:16" ht="30" x14ac:dyDescent="0.25">
      <c r="A36" s="2" t="s">
        <v>260</v>
      </c>
      <c r="B36" s="2" t="s">
        <v>282</v>
      </c>
      <c r="C36" s="2" t="s">
        <v>283</v>
      </c>
      <c r="D36" s="2" t="s">
        <v>284</v>
      </c>
      <c r="E36" s="2"/>
      <c r="F36" s="2"/>
      <c r="G36" s="2" t="s">
        <v>21</v>
      </c>
      <c r="H36" s="2"/>
      <c r="I36" s="2"/>
      <c r="J36" s="2"/>
      <c r="K36" s="2"/>
      <c r="L36" s="2" t="s">
        <v>285</v>
      </c>
      <c r="M36" s="2" t="s">
        <v>286</v>
      </c>
      <c r="N36" s="2"/>
      <c r="O36" s="2" t="s">
        <v>287</v>
      </c>
      <c r="P36" s="2" t="s">
        <v>288</v>
      </c>
    </row>
    <row r="37" spans="1:16" ht="45" x14ac:dyDescent="0.25">
      <c r="A37" s="2" t="s">
        <v>260</v>
      </c>
      <c r="B37" s="2" t="s">
        <v>289</v>
      </c>
      <c r="C37" s="2" t="s">
        <v>290</v>
      </c>
      <c r="D37" s="2" t="s">
        <v>291</v>
      </c>
      <c r="E37" s="2"/>
      <c r="F37" s="2"/>
      <c r="G37" s="2" t="s">
        <v>21</v>
      </c>
      <c r="H37" s="2"/>
      <c r="I37" s="2"/>
      <c r="J37" s="2"/>
      <c r="K37" s="2"/>
      <c r="L37" s="2" t="s">
        <v>292</v>
      </c>
      <c r="M37" s="2" t="s">
        <v>293</v>
      </c>
      <c r="N37" s="2"/>
      <c r="O37" s="2" t="s">
        <v>294</v>
      </c>
      <c r="P37" s="2" t="s">
        <v>295</v>
      </c>
    </row>
    <row r="38" spans="1:16" ht="30" x14ac:dyDescent="0.25">
      <c r="A38" s="2" t="s">
        <v>296</v>
      </c>
      <c r="B38" s="2" t="s">
        <v>297</v>
      </c>
      <c r="C38" s="2" t="s">
        <v>298</v>
      </c>
      <c r="D38" s="2" t="s">
        <v>299</v>
      </c>
      <c r="E38" s="2"/>
      <c r="F38" s="2"/>
      <c r="G38" s="2" t="s">
        <v>21</v>
      </c>
      <c r="H38" s="2"/>
      <c r="I38" s="2"/>
      <c r="J38" s="2"/>
      <c r="K38" s="2"/>
      <c r="L38" s="2" t="s">
        <v>300</v>
      </c>
      <c r="M38" s="2" t="s">
        <v>301</v>
      </c>
      <c r="N38" s="2"/>
      <c r="O38" s="2" t="s">
        <v>302</v>
      </c>
      <c r="P38" s="2" t="s">
        <v>303</v>
      </c>
    </row>
    <row r="39" spans="1:16" ht="45" x14ac:dyDescent="0.25">
      <c r="A39" s="2" t="s">
        <v>296</v>
      </c>
      <c r="B39" s="2" t="s">
        <v>304</v>
      </c>
      <c r="C39" s="2" t="s">
        <v>305</v>
      </c>
      <c r="D39" s="2" t="s">
        <v>306</v>
      </c>
      <c r="E39" s="2"/>
      <c r="F39" s="2"/>
      <c r="G39" s="2" t="s">
        <v>21</v>
      </c>
      <c r="H39" s="2"/>
      <c r="I39" s="2"/>
      <c r="J39" s="2"/>
      <c r="K39" s="2"/>
      <c r="L39" s="2" t="s">
        <v>307</v>
      </c>
      <c r="M39" s="2" t="s">
        <v>308</v>
      </c>
      <c r="N39" s="2"/>
      <c r="O39" s="2" t="s">
        <v>309</v>
      </c>
      <c r="P39" s="2" t="s">
        <v>310</v>
      </c>
    </row>
    <row r="40" spans="1:16" ht="45" x14ac:dyDescent="0.25">
      <c r="A40" s="2" t="s">
        <v>296</v>
      </c>
      <c r="B40" s="2" t="s">
        <v>311</v>
      </c>
      <c r="C40" s="2" t="s">
        <v>312</v>
      </c>
      <c r="D40" s="2" t="s">
        <v>313</v>
      </c>
      <c r="E40" s="2"/>
      <c r="F40" s="2"/>
      <c r="G40" s="2" t="s">
        <v>21</v>
      </c>
      <c r="H40" s="2"/>
      <c r="I40" s="2"/>
      <c r="J40" s="2"/>
      <c r="K40" s="2"/>
      <c r="L40" s="2" t="s">
        <v>314</v>
      </c>
      <c r="M40" s="2" t="s">
        <v>315</v>
      </c>
      <c r="N40" s="2"/>
      <c r="O40" s="2" t="s">
        <v>316</v>
      </c>
      <c r="P40" s="2" t="s">
        <v>317</v>
      </c>
    </row>
    <row r="41" spans="1:16" ht="30" x14ac:dyDescent="0.25">
      <c r="A41" s="2" t="s">
        <v>296</v>
      </c>
      <c r="B41" s="2" t="s">
        <v>318</v>
      </c>
      <c r="C41" s="2" t="s">
        <v>319</v>
      </c>
      <c r="D41" s="2" t="s">
        <v>320</v>
      </c>
      <c r="E41" s="2"/>
      <c r="F41" s="2"/>
      <c r="G41" s="2" t="s">
        <v>21</v>
      </c>
      <c r="H41" s="2"/>
      <c r="I41" s="2"/>
      <c r="J41" s="2"/>
      <c r="K41" s="2"/>
      <c r="L41" s="2" t="s">
        <v>321</v>
      </c>
      <c r="M41" s="2" t="s">
        <v>322</v>
      </c>
      <c r="N41" s="2"/>
      <c r="O41" s="2" t="s">
        <v>323</v>
      </c>
      <c r="P41" s="2" t="s">
        <v>324</v>
      </c>
    </row>
    <row r="42" spans="1:16" ht="45" x14ac:dyDescent="0.25">
      <c r="A42" s="2" t="s">
        <v>296</v>
      </c>
      <c r="B42" s="2" t="s">
        <v>325</v>
      </c>
      <c r="C42" s="2" t="s">
        <v>326</v>
      </c>
      <c r="D42" s="2" t="s">
        <v>327</v>
      </c>
      <c r="E42" s="2"/>
      <c r="F42" s="2"/>
      <c r="G42" s="2" t="s">
        <v>21</v>
      </c>
      <c r="H42" s="2"/>
      <c r="I42" s="2"/>
      <c r="J42" s="2"/>
      <c r="K42" s="2"/>
      <c r="L42" s="2" t="s">
        <v>328</v>
      </c>
      <c r="M42" s="2" t="s">
        <v>329</v>
      </c>
      <c r="N42" s="2"/>
      <c r="O42" s="2" t="s">
        <v>330</v>
      </c>
      <c r="P42" s="2" t="s">
        <v>331</v>
      </c>
    </row>
    <row r="43" spans="1:16" ht="45" x14ac:dyDescent="0.25">
      <c r="A43" s="2" t="s">
        <v>296</v>
      </c>
      <c r="B43" s="2" t="s">
        <v>332</v>
      </c>
      <c r="C43" s="2" t="s">
        <v>333</v>
      </c>
      <c r="D43" s="2" t="s">
        <v>334</v>
      </c>
      <c r="E43" s="2"/>
      <c r="F43" s="2"/>
      <c r="G43" s="2" t="s">
        <v>21</v>
      </c>
      <c r="H43" s="2"/>
      <c r="I43" s="2"/>
      <c r="J43" s="2"/>
      <c r="K43" s="2"/>
      <c r="L43" s="2" t="s">
        <v>335</v>
      </c>
      <c r="M43" s="2" t="s">
        <v>336</v>
      </c>
      <c r="N43" s="2"/>
      <c r="O43" s="2" t="s">
        <v>337</v>
      </c>
      <c r="P43" s="2" t="s">
        <v>338</v>
      </c>
    </row>
    <row r="44" spans="1:16" ht="30" x14ac:dyDescent="0.25">
      <c r="A44" s="2" t="s">
        <v>296</v>
      </c>
      <c r="B44" s="2" t="s">
        <v>339</v>
      </c>
      <c r="C44" s="2" t="s">
        <v>340</v>
      </c>
      <c r="D44" s="2" t="s">
        <v>341</v>
      </c>
      <c r="E44" s="2"/>
      <c r="F44" s="2"/>
      <c r="G44" s="2" t="s">
        <v>21</v>
      </c>
      <c r="H44" s="2"/>
      <c r="I44" s="2"/>
      <c r="J44" s="2"/>
      <c r="K44" s="2"/>
      <c r="L44" s="2" t="s">
        <v>342</v>
      </c>
      <c r="M44" s="2" t="s">
        <v>343</v>
      </c>
      <c r="N44" s="2"/>
      <c r="O44" s="2" t="s">
        <v>344</v>
      </c>
      <c r="P44" s="2" t="s">
        <v>345</v>
      </c>
    </row>
    <row r="45" spans="1:16" ht="45" x14ac:dyDescent="0.25">
      <c r="A45" s="2" t="s">
        <v>346</v>
      </c>
      <c r="B45" s="2" t="s">
        <v>347</v>
      </c>
      <c r="C45" s="2" t="s">
        <v>348</v>
      </c>
      <c r="D45" s="2" t="s">
        <v>349</v>
      </c>
      <c r="E45" s="2"/>
      <c r="F45" s="2"/>
      <c r="G45" s="2" t="s">
        <v>21</v>
      </c>
      <c r="H45" s="2"/>
      <c r="I45" s="2"/>
      <c r="J45" s="2"/>
      <c r="K45" s="2"/>
      <c r="L45" s="2" t="s">
        <v>350</v>
      </c>
      <c r="M45" s="2" t="s">
        <v>351</v>
      </c>
      <c r="N45" s="2"/>
      <c r="O45" s="2" t="s">
        <v>352</v>
      </c>
      <c r="P45" s="2" t="s">
        <v>353</v>
      </c>
    </row>
    <row r="46" spans="1:16" ht="45" x14ac:dyDescent="0.25">
      <c r="A46" s="2" t="s">
        <v>346</v>
      </c>
      <c r="B46" s="2" t="s">
        <v>354</v>
      </c>
      <c r="C46" s="2" t="s">
        <v>355</v>
      </c>
      <c r="D46" s="2" t="s">
        <v>356</v>
      </c>
      <c r="E46" s="2"/>
      <c r="F46" s="2"/>
      <c r="G46" s="2" t="s">
        <v>21</v>
      </c>
      <c r="H46" s="2"/>
      <c r="I46" s="2"/>
      <c r="J46" s="2"/>
      <c r="K46" s="2"/>
      <c r="L46" s="2" t="s">
        <v>357</v>
      </c>
      <c r="M46" s="2" t="s">
        <v>358</v>
      </c>
      <c r="N46" s="2"/>
      <c r="O46" s="2" t="s">
        <v>359</v>
      </c>
      <c r="P46" s="2" t="s">
        <v>360</v>
      </c>
    </row>
    <row r="47" spans="1:16" ht="45" x14ac:dyDescent="0.25">
      <c r="A47" s="2" t="s">
        <v>346</v>
      </c>
      <c r="B47" s="2" t="s">
        <v>361</v>
      </c>
      <c r="C47" s="2" t="s">
        <v>362</v>
      </c>
      <c r="D47" s="2" t="s">
        <v>363</v>
      </c>
      <c r="E47" s="2"/>
      <c r="F47" s="2"/>
      <c r="G47" s="2" t="s">
        <v>21</v>
      </c>
      <c r="H47" s="2"/>
      <c r="I47" s="2"/>
      <c r="J47" s="2"/>
      <c r="K47" s="2"/>
      <c r="L47" s="2" t="s">
        <v>364</v>
      </c>
      <c r="M47" s="2" t="s">
        <v>365</v>
      </c>
      <c r="N47" s="2"/>
      <c r="O47" s="2" t="s">
        <v>359</v>
      </c>
      <c r="P47" s="2" t="s">
        <v>366</v>
      </c>
    </row>
    <row r="48" spans="1:16" ht="30" x14ac:dyDescent="0.25">
      <c r="A48" s="2" t="s">
        <v>346</v>
      </c>
      <c r="B48" s="2" t="s">
        <v>367</v>
      </c>
      <c r="C48" s="2" t="s">
        <v>368</v>
      </c>
      <c r="D48" s="2" t="s">
        <v>369</v>
      </c>
      <c r="E48" s="2"/>
      <c r="F48" s="2"/>
      <c r="G48" s="2" t="s">
        <v>21</v>
      </c>
      <c r="H48" s="2"/>
      <c r="I48" s="2"/>
      <c r="J48" s="2"/>
      <c r="K48" s="2"/>
      <c r="L48" s="2" t="s">
        <v>370</v>
      </c>
      <c r="M48" s="2" t="s">
        <v>371</v>
      </c>
      <c r="N48" s="2"/>
      <c r="O48" s="2" t="s">
        <v>372</v>
      </c>
      <c r="P48" s="2" t="s">
        <v>373</v>
      </c>
    </row>
    <row r="49" spans="1:16" ht="45" x14ac:dyDescent="0.25">
      <c r="A49" s="2" t="s">
        <v>346</v>
      </c>
      <c r="B49" s="2" t="s">
        <v>374</v>
      </c>
      <c r="C49" s="2" t="s">
        <v>375</v>
      </c>
      <c r="D49" s="2" t="s">
        <v>376</v>
      </c>
      <c r="E49" s="2"/>
      <c r="F49" s="2"/>
      <c r="G49" s="2" t="s">
        <v>21</v>
      </c>
      <c r="H49" s="2"/>
      <c r="I49" s="2"/>
      <c r="J49" s="2"/>
      <c r="K49" s="2"/>
      <c r="L49" s="2" t="s">
        <v>377</v>
      </c>
      <c r="M49" s="2" t="s">
        <v>378</v>
      </c>
      <c r="N49" s="2"/>
      <c r="O49" s="2" t="s">
        <v>379</v>
      </c>
      <c r="P49" s="2" t="s">
        <v>380</v>
      </c>
    </row>
    <row r="50" spans="1:16" ht="45" x14ac:dyDescent="0.25">
      <c r="A50" s="2" t="s">
        <v>346</v>
      </c>
      <c r="B50" s="2" t="s">
        <v>381</v>
      </c>
      <c r="C50" s="2" t="s">
        <v>382</v>
      </c>
      <c r="D50" s="2" t="s">
        <v>383</v>
      </c>
      <c r="E50" s="2"/>
      <c r="F50" s="2"/>
      <c r="G50" s="2" t="s">
        <v>21</v>
      </c>
      <c r="H50" s="2"/>
      <c r="I50" s="2"/>
      <c r="J50" s="2"/>
      <c r="K50" s="2"/>
      <c r="L50" s="2" t="s">
        <v>384</v>
      </c>
      <c r="M50" s="2" t="s">
        <v>385</v>
      </c>
      <c r="N50" s="2"/>
      <c r="O50" s="2" t="s">
        <v>386</v>
      </c>
      <c r="P50" s="2" t="s">
        <v>387</v>
      </c>
    </row>
    <row r="51" spans="1:16" ht="30" x14ac:dyDescent="0.25">
      <c r="A51" s="2" t="s">
        <v>346</v>
      </c>
      <c r="B51" s="2" t="s">
        <v>388</v>
      </c>
      <c r="C51" s="2" t="s">
        <v>389</v>
      </c>
      <c r="D51" s="2" t="s">
        <v>390</v>
      </c>
      <c r="E51" s="2"/>
      <c r="F51" s="2"/>
      <c r="G51" s="2" t="s">
        <v>21</v>
      </c>
      <c r="H51" s="2"/>
      <c r="I51" s="2"/>
      <c r="J51" s="2"/>
      <c r="K51" s="2"/>
      <c r="L51" s="2" t="s">
        <v>391</v>
      </c>
      <c r="M51" s="2" t="s">
        <v>392</v>
      </c>
      <c r="N51" s="2"/>
      <c r="O51" s="2" t="s">
        <v>393</v>
      </c>
      <c r="P51" s="2" t="s">
        <v>394</v>
      </c>
    </row>
    <row r="52" spans="1:16" ht="30" x14ac:dyDescent="0.25">
      <c r="A52" s="2" t="s">
        <v>346</v>
      </c>
      <c r="B52" s="2" t="s">
        <v>395</v>
      </c>
      <c r="C52" s="2" t="s">
        <v>396</v>
      </c>
      <c r="D52" s="2" t="s">
        <v>397</v>
      </c>
      <c r="E52" s="2"/>
      <c r="F52" s="2"/>
      <c r="G52" s="2" t="s">
        <v>21</v>
      </c>
      <c r="H52" s="2"/>
      <c r="I52" s="2"/>
      <c r="J52" s="2"/>
      <c r="K52" s="2"/>
      <c r="L52" s="2" t="s">
        <v>370</v>
      </c>
      <c r="M52" s="2" t="s">
        <v>398</v>
      </c>
      <c r="N52" s="2"/>
      <c r="O52" s="2" t="s">
        <v>399</v>
      </c>
      <c r="P52" s="2" t="s">
        <v>400</v>
      </c>
    </row>
    <row r="53" spans="1:16" ht="30" x14ac:dyDescent="0.25">
      <c r="A53" s="2" t="s">
        <v>346</v>
      </c>
      <c r="B53" s="2" t="s">
        <v>401</v>
      </c>
      <c r="C53" s="2" t="s">
        <v>402</v>
      </c>
      <c r="D53" s="2" t="s">
        <v>403</v>
      </c>
      <c r="E53" s="2"/>
      <c r="F53" s="2"/>
      <c r="G53" s="2" t="s">
        <v>21</v>
      </c>
      <c r="H53" s="2"/>
      <c r="I53" s="2"/>
      <c r="J53" s="2"/>
      <c r="K53" s="2"/>
      <c r="L53" s="2" t="s">
        <v>404</v>
      </c>
      <c r="M53" s="2" t="s">
        <v>405</v>
      </c>
      <c r="N53" s="2"/>
      <c r="O53" s="2" t="s">
        <v>406</v>
      </c>
      <c r="P53" s="2" t="s">
        <v>407</v>
      </c>
    </row>
    <row r="54" spans="1:16" ht="45" x14ac:dyDescent="0.25">
      <c r="A54" s="2" t="s">
        <v>346</v>
      </c>
      <c r="B54" s="2" t="s">
        <v>408</v>
      </c>
      <c r="C54" s="2" t="s">
        <v>409</v>
      </c>
      <c r="D54" s="2" t="s">
        <v>410</v>
      </c>
      <c r="E54" s="2"/>
      <c r="F54" s="2"/>
      <c r="G54" s="2" t="s">
        <v>21</v>
      </c>
      <c r="H54" s="2"/>
      <c r="I54" s="2"/>
      <c r="J54" s="2"/>
      <c r="K54" s="2"/>
      <c r="L54" s="2" t="s">
        <v>411</v>
      </c>
      <c r="M54" s="2" t="s">
        <v>412</v>
      </c>
      <c r="N54" s="2"/>
      <c r="O54" s="2" t="s">
        <v>413</v>
      </c>
      <c r="P54" s="2" t="s">
        <v>414</v>
      </c>
    </row>
    <row r="55" spans="1:16" ht="45" x14ac:dyDescent="0.25">
      <c r="A55" s="2" t="s">
        <v>415</v>
      </c>
      <c r="B55" s="2" t="s">
        <v>416</v>
      </c>
      <c r="C55" s="2" t="s">
        <v>417</v>
      </c>
      <c r="D55" s="2" t="s">
        <v>418</v>
      </c>
      <c r="E55" s="2"/>
      <c r="F55" s="2"/>
      <c r="G55" s="2" t="s">
        <v>21</v>
      </c>
      <c r="H55" s="2"/>
      <c r="I55" s="2"/>
      <c r="J55" s="2"/>
      <c r="K55" s="2"/>
      <c r="L55" s="2" t="s">
        <v>384</v>
      </c>
      <c r="M55" s="2" t="s">
        <v>386</v>
      </c>
      <c r="N55" s="2"/>
      <c r="O55" s="2" t="s">
        <v>419</v>
      </c>
      <c r="P55" s="2" t="s">
        <v>420</v>
      </c>
    </row>
    <row r="56" spans="1:16" ht="45" x14ac:dyDescent="0.25">
      <c r="A56" s="2" t="s">
        <v>415</v>
      </c>
      <c r="B56" s="2" t="s">
        <v>421</v>
      </c>
      <c r="C56" s="2" t="s">
        <v>375</v>
      </c>
      <c r="D56" s="2" t="s">
        <v>422</v>
      </c>
      <c r="E56" s="2"/>
      <c r="F56" s="2"/>
      <c r="G56" s="2" t="s">
        <v>21</v>
      </c>
      <c r="H56" s="2"/>
      <c r="I56" s="2"/>
      <c r="J56" s="2"/>
      <c r="K56" s="2"/>
      <c r="L56" s="2" t="s">
        <v>423</v>
      </c>
      <c r="M56" s="2" t="s">
        <v>424</v>
      </c>
      <c r="N56" s="2"/>
      <c r="O56" s="2" t="s">
        <v>425</v>
      </c>
      <c r="P56" s="2" t="s">
        <v>426</v>
      </c>
    </row>
    <row r="57" spans="1:16" ht="30" x14ac:dyDescent="0.25">
      <c r="A57" s="2" t="s">
        <v>415</v>
      </c>
      <c r="B57" s="2" t="s">
        <v>427</v>
      </c>
      <c r="C57" s="2" t="s">
        <v>198</v>
      </c>
      <c r="D57" s="2" t="s">
        <v>428</v>
      </c>
      <c r="E57" s="2"/>
      <c r="F57" s="2"/>
      <c r="G57" s="2" t="s">
        <v>21</v>
      </c>
      <c r="H57" s="2"/>
      <c r="I57" s="2"/>
      <c r="J57" s="2"/>
      <c r="K57" s="2"/>
      <c r="L57" s="2" t="s">
        <v>429</v>
      </c>
      <c r="M57" s="2" t="s">
        <v>430</v>
      </c>
      <c r="N57" s="2"/>
      <c r="O57" s="2" t="s">
        <v>431</v>
      </c>
      <c r="P57" s="2" t="s">
        <v>432</v>
      </c>
    </row>
    <row r="58" spans="1:16" ht="30" x14ac:dyDescent="0.25">
      <c r="A58" s="2" t="s">
        <v>415</v>
      </c>
      <c r="B58" s="2" t="s">
        <v>433</v>
      </c>
      <c r="C58" s="2" t="s">
        <v>434</v>
      </c>
      <c r="D58" s="2" t="s">
        <v>435</v>
      </c>
      <c r="E58" s="2"/>
      <c r="F58" s="2"/>
      <c r="G58" s="2" t="s">
        <v>21</v>
      </c>
      <c r="H58" s="2"/>
      <c r="I58" s="2"/>
      <c r="J58" s="2"/>
      <c r="K58" s="2"/>
      <c r="L58" s="2" t="s">
        <v>436</v>
      </c>
      <c r="M58" s="2" t="s">
        <v>437</v>
      </c>
      <c r="N58" s="2"/>
      <c r="O58" s="2" t="s">
        <v>438</v>
      </c>
      <c r="P58" s="2" t="s">
        <v>439</v>
      </c>
    </row>
    <row r="59" spans="1:16" ht="30" x14ac:dyDescent="0.25">
      <c r="A59" s="2" t="s">
        <v>415</v>
      </c>
      <c r="B59" s="2" t="s">
        <v>440</v>
      </c>
      <c r="C59" s="2" t="s">
        <v>441</v>
      </c>
      <c r="D59" s="2" t="s">
        <v>442</v>
      </c>
      <c r="E59" s="2"/>
      <c r="F59" s="2"/>
      <c r="G59" s="2" t="s">
        <v>21</v>
      </c>
      <c r="H59" s="2"/>
      <c r="I59" s="2"/>
      <c r="J59" s="2"/>
      <c r="K59" s="2"/>
      <c r="L59" s="2" t="s">
        <v>330</v>
      </c>
      <c r="M59" s="2" t="s">
        <v>443</v>
      </c>
      <c r="N59" s="2"/>
      <c r="O59" s="2" t="s">
        <v>444</v>
      </c>
      <c r="P59" s="2" t="s">
        <v>445</v>
      </c>
    </row>
    <row r="60" spans="1:16" ht="30" x14ac:dyDescent="0.25">
      <c r="A60" s="2" t="s">
        <v>446</v>
      </c>
      <c r="B60" s="2" t="s">
        <v>447</v>
      </c>
      <c r="C60" s="2"/>
      <c r="D60" s="2" t="s">
        <v>448</v>
      </c>
      <c r="E60" s="2"/>
      <c r="F60" s="2"/>
      <c r="G60" s="2" t="s">
        <v>21</v>
      </c>
      <c r="H60" s="2"/>
      <c r="I60" s="2"/>
      <c r="J60" s="2"/>
      <c r="K60" s="2"/>
      <c r="L60" s="2" t="s">
        <v>449</v>
      </c>
      <c r="M60" s="2" t="s">
        <v>450</v>
      </c>
      <c r="N60" s="2"/>
      <c r="O60" s="2"/>
      <c r="P60" s="2" t="s">
        <v>451</v>
      </c>
    </row>
    <row r="61" spans="1:16" ht="30" x14ac:dyDescent="0.25">
      <c r="A61" s="2" t="s">
        <v>446</v>
      </c>
      <c r="B61" s="2" t="s">
        <v>452</v>
      </c>
      <c r="C61" s="2"/>
      <c r="D61" s="2" t="s">
        <v>453</v>
      </c>
      <c r="E61" s="2"/>
      <c r="F61" s="2"/>
      <c r="G61" s="2" t="s">
        <v>21</v>
      </c>
      <c r="H61" s="2"/>
      <c r="I61" s="2"/>
      <c r="J61" s="2"/>
      <c r="K61" s="2"/>
      <c r="L61" s="2" t="s">
        <v>454</v>
      </c>
      <c r="M61" s="2" t="s">
        <v>455</v>
      </c>
      <c r="N61" s="2"/>
      <c r="O61" s="2"/>
      <c r="P61" s="2" t="s">
        <v>456</v>
      </c>
    </row>
    <row r="62" spans="1:16" ht="30" x14ac:dyDescent="0.25">
      <c r="A62" s="2" t="s">
        <v>446</v>
      </c>
      <c r="B62" s="2" t="s">
        <v>457</v>
      </c>
      <c r="C62" s="2"/>
      <c r="D62" s="2" t="s">
        <v>458</v>
      </c>
      <c r="E62" s="2"/>
      <c r="F62" s="2"/>
      <c r="G62" s="2" t="s">
        <v>21</v>
      </c>
      <c r="H62" s="2"/>
      <c r="I62" s="2"/>
      <c r="J62" s="2"/>
      <c r="K62" s="2"/>
      <c r="L62" s="2" t="s">
        <v>459</v>
      </c>
      <c r="M62" s="2" t="s">
        <v>460</v>
      </c>
      <c r="N62" s="2"/>
      <c r="O62" s="2"/>
      <c r="P62" s="2" t="s">
        <v>461</v>
      </c>
    </row>
    <row r="63" spans="1:16" ht="30" x14ac:dyDescent="0.25">
      <c r="A63" s="2" t="s">
        <v>446</v>
      </c>
      <c r="B63" s="2" t="s">
        <v>462</v>
      </c>
      <c r="C63" s="2"/>
      <c r="D63" s="2" t="s">
        <v>463</v>
      </c>
      <c r="E63" s="2"/>
      <c r="F63" s="2"/>
      <c r="G63" s="2" t="s">
        <v>21</v>
      </c>
      <c r="H63" s="2"/>
      <c r="I63" s="2"/>
      <c r="J63" s="2"/>
      <c r="K63" s="2"/>
      <c r="L63" s="2" t="s">
        <v>464</v>
      </c>
      <c r="M63" s="2" t="s">
        <v>465</v>
      </c>
      <c r="N63" s="2"/>
      <c r="O63" s="2"/>
      <c r="P63" s="2" t="s">
        <v>466</v>
      </c>
    </row>
    <row r="64" spans="1:16" ht="30" x14ac:dyDescent="0.25">
      <c r="A64" s="2" t="s">
        <v>446</v>
      </c>
      <c r="B64" s="2" t="s">
        <v>467</v>
      </c>
      <c r="C64" s="2"/>
      <c r="D64" s="2" t="s">
        <v>468</v>
      </c>
      <c r="E64" s="2"/>
      <c r="F64" s="2"/>
      <c r="G64" s="2" t="s">
        <v>21</v>
      </c>
      <c r="H64" s="2"/>
      <c r="I64" s="2"/>
      <c r="J64" s="2"/>
      <c r="K64" s="2"/>
      <c r="L64" s="2" t="s">
        <v>469</v>
      </c>
      <c r="M64" s="2" t="s">
        <v>470</v>
      </c>
      <c r="N64" s="2"/>
      <c r="O64" s="2"/>
      <c r="P64" s="2" t="s">
        <v>471</v>
      </c>
    </row>
    <row r="65" spans="1:16" ht="30" x14ac:dyDescent="0.25">
      <c r="A65" s="2" t="s">
        <v>472</v>
      </c>
      <c r="B65" s="2" t="s">
        <v>473</v>
      </c>
      <c r="C65" s="2"/>
      <c r="D65" s="2" t="s">
        <v>474</v>
      </c>
      <c r="E65" s="2"/>
      <c r="F65" s="2"/>
      <c r="G65" s="2" t="s">
        <v>21</v>
      </c>
      <c r="H65" s="2"/>
      <c r="I65" s="2"/>
      <c r="J65" s="2"/>
      <c r="K65" s="2"/>
      <c r="L65" s="2" t="s">
        <v>475</v>
      </c>
      <c r="M65" s="2" t="s">
        <v>476</v>
      </c>
      <c r="N65" s="2"/>
      <c r="O65" s="2"/>
      <c r="P65" s="2" t="s">
        <v>477</v>
      </c>
    </row>
    <row r="66" spans="1:16" ht="30" x14ac:dyDescent="0.25">
      <c r="A66" s="2" t="s">
        <v>472</v>
      </c>
      <c r="B66" s="2" t="s">
        <v>478</v>
      </c>
      <c r="C66" s="2"/>
      <c r="D66" s="2" t="s">
        <v>479</v>
      </c>
      <c r="E66" s="2"/>
      <c r="F66" s="2"/>
      <c r="G66" s="2" t="s">
        <v>21</v>
      </c>
      <c r="H66" s="2"/>
      <c r="I66" s="2"/>
      <c r="J66" s="2"/>
      <c r="K66" s="2"/>
      <c r="L66" s="2" t="s">
        <v>480</v>
      </c>
      <c r="M66" s="2" t="s">
        <v>481</v>
      </c>
      <c r="N66" s="2"/>
      <c r="O66" s="2"/>
      <c r="P66" s="2" t="s">
        <v>482</v>
      </c>
    </row>
    <row r="67" spans="1:16" ht="30" x14ac:dyDescent="0.25">
      <c r="A67" s="2" t="s">
        <v>472</v>
      </c>
      <c r="B67" s="2" t="s">
        <v>483</v>
      </c>
      <c r="C67" s="2"/>
      <c r="D67" s="2" t="s">
        <v>484</v>
      </c>
      <c r="E67" s="2"/>
      <c r="F67" s="2"/>
      <c r="G67" s="2" t="s">
        <v>21</v>
      </c>
      <c r="H67" s="2"/>
      <c r="I67" s="2"/>
      <c r="J67" s="2"/>
      <c r="K67" s="2"/>
      <c r="L67" s="2" t="s">
        <v>485</v>
      </c>
      <c r="M67" s="2" t="s">
        <v>486</v>
      </c>
      <c r="N67" s="2"/>
      <c r="O67" s="2"/>
      <c r="P67" s="2" t="s">
        <v>487</v>
      </c>
    </row>
    <row r="68" spans="1:16" ht="30" x14ac:dyDescent="0.25">
      <c r="A68" s="2" t="s">
        <v>472</v>
      </c>
      <c r="B68" s="2" t="s">
        <v>488</v>
      </c>
      <c r="C68" s="2"/>
      <c r="D68" s="2" t="s">
        <v>489</v>
      </c>
      <c r="E68" s="2"/>
      <c r="F68" s="2"/>
      <c r="G68" s="2" t="s">
        <v>21</v>
      </c>
      <c r="H68" s="2"/>
      <c r="I68" s="2"/>
      <c r="J68" s="2"/>
      <c r="K68" s="2"/>
      <c r="L68" s="2" t="s">
        <v>490</v>
      </c>
      <c r="M68" s="2" t="s">
        <v>491</v>
      </c>
      <c r="N68" s="2"/>
      <c r="O68" s="2"/>
      <c r="P68" s="2" t="s">
        <v>492</v>
      </c>
    </row>
    <row r="69" spans="1:16" ht="30" x14ac:dyDescent="0.25">
      <c r="A69" s="2" t="s">
        <v>472</v>
      </c>
      <c r="B69" s="2" t="s">
        <v>493</v>
      </c>
      <c r="C69" s="2"/>
      <c r="D69" s="2" t="s">
        <v>494</v>
      </c>
      <c r="E69" s="2"/>
      <c r="F69" s="2"/>
      <c r="G69" s="2" t="s">
        <v>21</v>
      </c>
      <c r="H69" s="2"/>
      <c r="I69" s="2"/>
      <c r="J69" s="2"/>
      <c r="K69" s="2"/>
      <c r="L69" s="2" t="s">
        <v>495</v>
      </c>
      <c r="M69" s="2" t="s">
        <v>496</v>
      </c>
      <c r="N69" s="2"/>
      <c r="O69" s="2"/>
      <c r="P69" s="2" t="s">
        <v>497</v>
      </c>
    </row>
    <row r="70" spans="1:16" ht="30" x14ac:dyDescent="0.25">
      <c r="A70" s="2" t="s">
        <v>472</v>
      </c>
      <c r="B70" s="2" t="s">
        <v>498</v>
      </c>
      <c r="C70" s="2"/>
      <c r="D70" s="2" t="s">
        <v>499</v>
      </c>
      <c r="E70" s="2"/>
      <c r="F70" s="2"/>
      <c r="G70" s="2" t="s">
        <v>21</v>
      </c>
      <c r="H70" s="2"/>
      <c r="I70" s="2"/>
      <c r="J70" s="2"/>
      <c r="K70" s="2"/>
      <c r="L70" s="2" t="s">
        <v>500</v>
      </c>
      <c r="M70" s="2" t="s">
        <v>501</v>
      </c>
      <c r="N70" s="2"/>
      <c r="O70" s="2"/>
      <c r="P70" s="2" t="s">
        <v>502</v>
      </c>
    </row>
    <row r="71" spans="1:16" ht="30" x14ac:dyDescent="0.25">
      <c r="A71" s="2" t="s">
        <v>503</v>
      </c>
      <c r="B71" s="2" t="s">
        <v>504</v>
      </c>
      <c r="C71" s="2"/>
      <c r="D71" s="2" t="s">
        <v>505</v>
      </c>
      <c r="E71" s="2"/>
      <c r="F71" s="2"/>
      <c r="G71" s="2" t="s">
        <v>21</v>
      </c>
      <c r="H71" s="2"/>
      <c r="I71" s="2"/>
      <c r="J71" s="2"/>
      <c r="K71" s="2"/>
      <c r="L71" s="2" t="s">
        <v>506</v>
      </c>
      <c r="M71" s="2" t="s">
        <v>507</v>
      </c>
      <c r="N71" s="2"/>
      <c r="O71" s="2"/>
      <c r="P71" s="2" t="s">
        <v>508</v>
      </c>
    </row>
    <row r="72" spans="1:16" ht="45" x14ac:dyDescent="0.25">
      <c r="A72" s="2" t="s">
        <v>503</v>
      </c>
      <c r="B72" s="2" t="s">
        <v>509</v>
      </c>
      <c r="C72" s="2"/>
      <c r="D72" s="2" t="s">
        <v>510</v>
      </c>
      <c r="E72" s="2"/>
      <c r="F72" s="2"/>
      <c r="G72" s="2" t="s">
        <v>21</v>
      </c>
      <c r="H72" s="2"/>
      <c r="I72" s="2"/>
      <c r="J72" s="2"/>
      <c r="K72" s="2"/>
      <c r="L72" s="2" t="s">
        <v>511</v>
      </c>
      <c r="M72" s="2" t="s">
        <v>512</v>
      </c>
      <c r="N72" s="2"/>
      <c r="O72" s="2"/>
      <c r="P72" s="2" t="s">
        <v>513</v>
      </c>
    </row>
    <row r="73" spans="1:16" ht="45" x14ac:dyDescent="0.25">
      <c r="A73" s="2" t="s">
        <v>503</v>
      </c>
      <c r="B73" s="2" t="s">
        <v>514</v>
      </c>
      <c r="C73" s="2"/>
      <c r="D73" s="2" t="s">
        <v>515</v>
      </c>
      <c r="E73" s="2"/>
      <c r="F73" s="2"/>
      <c r="G73" s="2" t="s">
        <v>21</v>
      </c>
      <c r="H73" s="2"/>
      <c r="I73" s="2"/>
      <c r="J73" s="2"/>
      <c r="K73" s="2"/>
      <c r="L73" s="2" t="s">
        <v>516</v>
      </c>
      <c r="M73" s="2" t="s">
        <v>517</v>
      </c>
      <c r="N73" s="2"/>
      <c r="O73" s="2"/>
      <c r="P73" s="2" t="s">
        <v>518</v>
      </c>
    </row>
    <row r="74" spans="1:16" ht="30" x14ac:dyDescent="0.25">
      <c r="A74" s="2" t="s">
        <v>503</v>
      </c>
      <c r="B74" s="2" t="s">
        <v>519</v>
      </c>
      <c r="C74" s="2"/>
      <c r="D74" s="2" t="s">
        <v>520</v>
      </c>
      <c r="E74" s="2"/>
      <c r="F74" s="2"/>
      <c r="G74" s="2" t="s">
        <v>21</v>
      </c>
      <c r="H74" s="2"/>
      <c r="I74" s="2"/>
      <c r="J74" s="2"/>
      <c r="K74" s="2"/>
      <c r="L74" s="2" t="s">
        <v>521</v>
      </c>
      <c r="M74" s="2" t="s">
        <v>522</v>
      </c>
      <c r="N74" s="2"/>
      <c r="O74" s="2"/>
      <c r="P74" s="2" t="s">
        <v>523</v>
      </c>
    </row>
    <row r="75" spans="1:16" ht="30" x14ac:dyDescent="0.25">
      <c r="A75" s="2" t="s">
        <v>503</v>
      </c>
      <c r="B75" s="2" t="s">
        <v>524</v>
      </c>
      <c r="C75" s="2"/>
      <c r="D75" s="2" t="s">
        <v>525</v>
      </c>
      <c r="E75" s="2"/>
      <c r="F75" s="2"/>
      <c r="G75" s="2" t="s">
        <v>21</v>
      </c>
      <c r="H75" s="2"/>
      <c r="I75" s="2"/>
      <c r="J75" s="2"/>
      <c r="K75" s="2"/>
      <c r="L75" s="2" t="s">
        <v>526</v>
      </c>
      <c r="M75" s="2" t="s">
        <v>527</v>
      </c>
      <c r="N75" s="2"/>
      <c r="O75" s="2"/>
      <c r="P75" s="2" t="s">
        <v>528</v>
      </c>
    </row>
    <row r="76" spans="1:16" ht="30" x14ac:dyDescent="0.25">
      <c r="A76" s="2" t="s">
        <v>503</v>
      </c>
      <c r="B76" s="2" t="s">
        <v>529</v>
      </c>
      <c r="C76" s="2"/>
      <c r="D76" s="2" t="s">
        <v>530</v>
      </c>
      <c r="E76" s="2"/>
      <c r="F76" s="2"/>
      <c r="G76" s="2" t="s">
        <v>21</v>
      </c>
      <c r="H76" s="2"/>
      <c r="I76" s="2"/>
      <c r="J76" s="2"/>
      <c r="K76" s="2"/>
      <c r="L76" s="2" t="s">
        <v>531</v>
      </c>
      <c r="M76" s="2" t="s">
        <v>532</v>
      </c>
      <c r="N76" s="2"/>
      <c r="O76" s="2"/>
      <c r="P76" s="2" t="s">
        <v>533</v>
      </c>
    </row>
    <row r="77" spans="1:16" ht="30" x14ac:dyDescent="0.25">
      <c r="A77" s="2" t="s">
        <v>503</v>
      </c>
      <c r="B77" s="2" t="s">
        <v>534</v>
      </c>
      <c r="C77" s="2"/>
      <c r="D77" s="2" t="s">
        <v>535</v>
      </c>
      <c r="E77" s="2"/>
      <c r="F77" s="2"/>
      <c r="G77" s="2" t="s">
        <v>21</v>
      </c>
      <c r="H77" s="2"/>
      <c r="I77" s="2"/>
      <c r="J77" s="2"/>
      <c r="K77" s="2"/>
      <c r="L77" s="2" t="s">
        <v>536</v>
      </c>
      <c r="M77" s="2" t="s">
        <v>537</v>
      </c>
      <c r="N77" s="2"/>
      <c r="O77" s="2"/>
      <c r="P77" s="2" t="s">
        <v>538</v>
      </c>
    </row>
    <row r="78" spans="1:16" ht="30" x14ac:dyDescent="0.25">
      <c r="A78" s="2" t="s">
        <v>503</v>
      </c>
      <c r="B78" s="2" t="s">
        <v>539</v>
      </c>
      <c r="C78" s="2"/>
      <c r="D78" s="2" t="s">
        <v>540</v>
      </c>
      <c r="E78" s="2"/>
      <c r="F78" s="2"/>
      <c r="G78" s="2" t="s">
        <v>21</v>
      </c>
      <c r="H78" s="2"/>
      <c r="I78" s="2"/>
      <c r="J78" s="2"/>
      <c r="K78" s="2"/>
      <c r="L78" s="2" t="s">
        <v>541</v>
      </c>
      <c r="M78" s="2" t="s">
        <v>542</v>
      </c>
      <c r="N78" s="2"/>
      <c r="O78" s="2"/>
      <c r="P78" s="2" t="s">
        <v>543</v>
      </c>
    </row>
  </sheetData>
  <dataValidations count="3">
    <dataValidation type="list" sqref="G2:G78" xr:uid="{00000000-0002-0000-0000-000000000000}">
      <formula1>"Not Started,In Progress,Completed,Mastered"</formula1>
    </dataValidation>
    <dataValidation type="whole" allowBlank="1" sqref="H2:H78" xr:uid="{00000000-0002-0000-0000-000001000000}">
      <formula1>1</formula1>
      <formula2>5</formula2>
    </dataValidation>
    <dataValidation type="list" allowBlank="1" sqref="I2:I78" xr:uid="{00000000-0002-0000-0000-000002000000}">
      <formula1>"No,Yes"</formula1>
    </dataValidation>
  </dataValidations>
  <hyperlinks>
    <hyperlink ref="L2" r:id="rId1" xr:uid="{7C03F371-4457-44E7-97DB-7371D02A6ABA}"/>
    <hyperlink ref="L15" r:id="rId2" xr:uid="{1575B1B5-DB30-41CF-81A0-41FADA164234}"/>
    <hyperlink ref="M15" r:id="rId3" xr:uid="{C17D63F3-A265-4E80-838A-EA02F928D313}"/>
    <hyperlink ref="O15" r:id="rId4" xr:uid="{D78EB96D-727C-41C7-A717-08A6ED838CC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defaultRowHeight="15" x14ac:dyDescent="0.25"/>
  <cols>
    <col min="1" max="1" width="22" customWidth="1"/>
    <col min="2" max="2" width="18" customWidth="1"/>
    <col min="4" max="8" width="18" customWidth="1"/>
  </cols>
  <sheetData>
    <row r="1" spans="1:8" ht="21" x14ac:dyDescent="0.35">
      <c r="A1" s="3" t="s">
        <v>544</v>
      </c>
    </row>
    <row r="3" spans="1:8" x14ac:dyDescent="0.25">
      <c r="A3" t="s">
        <v>545</v>
      </c>
      <c r="B3" t="s">
        <v>546</v>
      </c>
    </row>
    <row r="4" spans="1:8" ht="15.75" x14ac:dyDescent="0.25">
      <c r="D4" s="4" t="s">
        <v>547</v>
      </c>
    </row>
    <row r="5" spans="1:8" x14ac:dyDescent="0.25">
      <c r="A5" s="5" t="s">
        <v>548</v>
      </c>
      <c r="B5">
        <f>COUNTA('All Patterns'!B:B)-1</f>
        <v>77</v>
      </c>
    </row>
    <row r="6" spans="1:8" x14ac:dyDescent="0.25">
      <c r="A6" s="5" t="s">
        <v>21</v>
      </c>
      <c r="B6">
        <f>COUNTIF('All Patterns'!G:G,"Not Started")</f>
        <v>77</v>
      </c>
      <c r="D6" s="1" t="s">
        <v>0</v>
      </c>
      <c r="E6" s="1" t="s">
        <v>549</v>
      </c>
      <c r="F6" s="1" t="s">
        <v>550</v>
      </c>
      <c r="G6" s="1" t="s">
        <v>551</v>
      </c>
      <c r="H6" s="1" t="s">
        <v>21</v>
      </c>
    </row>
    <row r="7" spans="1:8" x14ac:dyDescent="0.25">
      <c r="A7" s="5" t="s">
        <v>551</v>
      </c>
      <c r="B7">
        <f>COUNTIF('All Patterns'!G:G,"In Progress")</f>
        <v>0</v>
      </c>
      <c r="D7" s="2" t="s">
        <v>224</v>
      </c>
      <c r="E7" s="2">
        <f>COUNTIFS('All Patterns'!A:A,D7,'All Patterns'!G:G,"Mastered")</f>
        <v>0</v>
      </c>
      <c r="F7" s="2">
        <f>COUNTIFS('All Patterns'!A:A,D7,'All Patterns'!G:G,"Completed")</f>
        <v>0</v>
      </c>
      <c r="G7" s="2">
        <f>COUNTIFS('All Patterns'!A:A,D7,'All Patterns'!G:G,"In Progress")</f>
        <v>0</v>
      </c>
      <c r="H7" s="2">
        <f>COUNTIFS('All Patterns'!A:A,D7,'All Patterns'!G:G,"Not Started")</f>
        <v>5</v>
      </c>
    </row>
    <row r="8" spans="1:8" x14ac:dyDescent="0.25">
      <c r="A8" s="5" t="s">
        <v>550</v>
      </c>
      <c r="B8">
        <f>COUNTIF('All Patterns'!G:G,"Completed")</f>
        <v>0</v>
      </c>
      <c r="D8" s="2" t="s">
        <v>346</v>
      </c>
      <c r="E8" s="2">
        <f>COUNTIFS('All Patterns'!A:A,D8,'All Patterns'!G:G,"Mastered")</f>
        <v>0</v>
      </c>
      <c r="F8" s="2">
        <f>COUNTIFS('All Patterns'!A:A,D8,'All Patterns'!G:G,"Completed")</f>
        <v>0</v>
      </c>
      <c r="G8" s="2">
        <f>COUNTIFS('All Patterns'!A:A,D8,'All Patterns'!G:G,"In Progress")</f>
        <v>0</v>
      </c>
      <c r="H8" s="2">
        <f>COUNTIFS('All Patterns'!A:A,D8,'All Patterns'!G:G,"Not Started")</f>
        <v>10</v>
      </c>
    </row>
    <row r="9" spans="1:8" x14ac:dyDescent="0.25">
      <c r="A9" s="5" t="s">
        <v>549</v>
      </c>
      <c r="B9">
        <f>COUNTIF('All Patterns'!G:G,"Mastered")</f>
        <v>0</v>
      </c>
      <c r="D9" s="2" t="s">
        <v>15</v>
      </c>
      <c r="E9" s="2">
        <f>COUNTIFS('All Patterns'!A:A,D9,'All Patterns'!G:G,"Mastered")</f>
        <v>0</v>
      </c>
      <c r="F9" s="2">
        <f>COUNTIFS('All Patterns'!A:A,D9,'All Patterns'!G:G,"Completed")</f>
        <v>0</v>
      </c>
      <c r="G9" s="2">
        <f>COUNTIFS('All Patterns'!A:A,D9,'All Patterns'!G:G,"In Progress")</f>
        <v>0</v>
      </c>
      <c r="H9" s="2">
        <f>COUNTIFS('All Patterns'!A:A,D9,'All Patterns'!G:G,"Not Started")</f>
        <v>13</v>
      </c>
    </row>
    <row r="10" spans="1:8" ht="30" x14ac:dyDescent="0.25">
      <c r="A10" s="5" t="s">
        <v>552</v>
      </c>
      <c r="B10" s="6">
        <f>(COUNTIF('All Patterns'!G:G,"Mastered")/(COUNTA('All Patterns'!B:B)-1))</f>
        <v>0</v>
      </c>
      <c r="D10" s="2" t="s">
        <v>182</v>
      </c>
      <c r="E10" s="2">
        <f>COUNTIFS('All Patterns'!A:A,D10,'All Patterns'!G:G,"Mastered")</f>
        <v>0</v>
      </c>
      <c r="F10" s="2">
        <f>COUNTIFS('All Patterns'!A:A,D10,'All Patterns'!G:G,"Completed")</f>
        <v>0</v>
      </c>
      <c r="G10" s="2">
        <f>COUNTIFS('All Patterns'!A:A,D10,'All Patterns'!G:G,"In Progress")</f>
        <v>0</v>
      </c>
      <c r="H10" s="2">
        <f>COUNTIFS('All Patterns'!A:A,D10,'All Patterns'!G:G,"Not Started")</f>
        <v>6</v>
      </c>
    </row>
    <row r="11" spans="1:8" x14ac:dyDescent="0.25">
      <c r="A11" s="5" t="s">
        <v>553</v>
      </c>
      <c r="B11" s="7" t="e">
        <f>AVERAGEIF('All Patterns'!H:H,"&gt;0")</f>
        <v>#DIV/0!</v>
      </c>
      <c r="D11" s="2" t="s">
        <v>503</v>
      </c>
      <c r="E11" s="2">
        <f>COUNTIFS('All Patterns'!A:A,D11,'All Patterns'!G:G,"Mastered")</f>
        <v>0</v>
      </c>
      <c r="F11" s="2">
        <f>COUNTIFS('All Patterns'!A:A,D11,'All Patterns'!G:G,"Completed")</f>
        <v>0</v>
      </c>
      <c r="G11" s="2">
        <f>COUNTIFS('All Patterns'!A:A,D11,'All Patterns'!G:G,"In Progress")</f>
        <v>0</v>
      </c>
      <c r="H11" s="2">
        <f>COUNTIFS('All Patterns'!A:A,D11,'All Patterns'!G:G,"Not Started")</f>
        <v>8</v>
      </c>
    </row>
    <row r="12" spans="1:8" x14ac:dyDescent="0.25">
      <c r="D12" s="2" t="s">
        <v>446</v>
      </c>
      <c r="E12" s="2">
        <f>COUNTIFS('All Patterns'!A:A,D12,'All Patterns'!G:G,"Mastered")</f>
        <v>0</v>
      </c>
      <c r="F12" s="2">
        <f>COUNTIFS('All Patterns'!A:A,D12,'All Patterns'!G:G,"Completed")</f>
        <v>0</v>
      </c>
      <c r="G12" s="2">
        <f>COUNTIFS('All Patterns'!A:A,D12,'All Patterns'!G:G,"In Progress")</f>
        <v>0</v>
      </c>
      <c r="H12" s="2">
        <f>COUNTIFS('All Patterns'!A:A,D12,'All Patterns'!G:G,"Not Started")</f>
        <v>5</v>
      </c>
    </row>
    <row r="13" spans="1:8" x14ac:dyDescent="0.25">
      <c r="D13" s="2" t="s">
        <v>472</v>
      </c>
      <c r="E13" s="2">
        <f>COUNTIFS('All Patterns'!A:A,D13,'All Patterns'!G:G,"Mastered")</f>
        <v>0</v>
      </c>
      <c r="F13" s="2">
        <f>COUNTIFS('All Patterns'!A:A,D13,'All Patterns'!G:G,"Completed")</f>
        <v>0</v>
      </c>
      <c r="G13" s="2">
        <f>COUNTIFS('All Patterns'!A:A,D13,'All Patterns'!G:G,"In Progress")</f>
        <v>0</v>
      </c>
      <c r="H13" s="2">
        <f>COUNTIFS('All Patterns'!A:A,D13,'All Patterns'!G:G,"Not Started")</f>
        <v>6</v>
      </c>
    </row>
    <row r="14" spans="1:8" x14ac:dyDescent="0.25">
      <c r="A14" s="5" t="s">
        <v>554</v>
      </c>
      <c r="D14" s="2" t="s">
        <v>415</v>
      </c>
      <c r="E14" s="2">
        <f>COUNTIFS('All Patterns'!A:A,D14,'All Patterns'!G:G,"Mastered")</f>
        <v>0</v>
      </c>
      <c r="F14" s="2">
        <f>COUNTIFS('All Patterns'!A:A,D14,'All Patterns'!G:G,"Completed")</f>
        <v>0</v>
      </c>
      <c r="G14" s="2">
        <f>COUNTIFS('All Patterns'!A:A,D14,'All Patterns'!G:G,"In Progress")</f>
        <v>0</v>
      </c>
      <c r="H14" s="2">
        <f>COUNTIFS('All Patterns'!A:A,D14,'All Patterns'!G:G,"Not Started")</f>
        <v>5</v>
      </c>
    </row>
    <row r="15" spans="1:8" x14ac:dyDescent="0.25">
      <c r="A15" t="s">
        <v>555</v>
      </c>
      <c r="D15" s="2" t="s">
        <v>260</v>
      </c>
      <c r="E15" s="2">
        <f>COUNTIFS('All Patterns'!A:A,D15,'All Patterns'!G:G,"Mastered")</f>
        <v>0</v>
      </c>
      <c r="F15" s="2">
        <f>COUNTIFS('All Patterns'!A:A,D15,'All Patterns'!G:G,"Completed")</f>
        <v>0</v>
      </c>
      <c r="G15" s="2">
        <f>COUNTIFS('All Patterns'!A:A,D15,'All Patterns'!G:G,"In Progress")</f>
        <v>0</v>
      </c>
      <c r="H15" s="2">
        <f>COUNTIFS('All Patterns'!A:A,D15,'All Patterns'!G:G,"Not Started")</f>
        <v>5</v>
      </c>
    </row>
    <row r="16" spans="1:8" x14ac:dyDescent="0.25">
      <c r="A16" t="s">
        <v>556</v>
      </c>
      <c r="D16" s="2" t="s">
        <v>296</v>
      </c>
      <c r="E16" s="2">
        <f>COUNTIFS('All Patterns'!A:A,D16,'All Patterns'!G:G,"Mastered")</f>
        <v>0</v>
      </c>
      <c r="F16" s="2">
        <f>COUNTIFS('All Patterns'!A:A,D16,'All Patterns'!G:G,"Completed")</f>
        <v>0</v>
      </c>
      <c r="G16" s="2">
        <f>COUNTIFS('All Patterns'!A:A,D16,'All Patterns'!G:G,"In Progress")</f>
        <v>0</v>
      </c>
      <c r="H16" s="2">
        <f>COUNTIFS('All Patterns'!A:A,D16,'All Patterns'!G:G,"Not Started")</f>
        <v>7</v>
      </c>
    </row>
    <row r="17" spans="1:8" x14ac:dyDescent="0.25">
      <c r="A17" t="s">
        <v>557</v>
      </c>
      <c r="D17" s="2" t="s">
        <v>132</v>
      </c>
      <c r="E17" s="2">
        <f>COUNTIFS('All Patterns'!A:A,D17,'All Patterns'!G:G,"Mastered")</f>
        <v>0</v>
      </c>
      <c r="F17" s="2">
        <f>COUNTIFS('All Patterns'!A:A,D17,'All Patterns'!G:G,"Completed")</f>
        <v>0</v>
      </c>
      <c r="G17" s="2">
        <f>COUNTIFS('All Patterns'!A:A,D17,'All Patterns'!G:G,"In Progress")</f>
        <v>0</v>
      </c>
      <c r="H17" s="2">
        <f>COUNTIFS('All Patterns'!A:A,D17,'All Patterns'!G:G,"Not Started")</f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Patterns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Joseph</cp:lastModifiedBy>
  <dcterms:created xsi:type="dcterms:W3CDTF">2026-02-22T17:48:53Z</dcterms:created>
  <dcterms:modified xsi:type="dcterms:W3CDTF">2026-02-22T18:10:45Z</dcterms:modified>
</cp:coreProperties>
</file>